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USER HP\Desktop\بطاقات المطعم\"/>
    </mc:Choice>
  </mc:AlternateContent>
  <xr:revisionPtr revIDLastSave="0" documentId="13_ncr:1_{5D160134-DE9D-4F3B-B4D7-C9DC3B8AFB4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INASA" sheetId="5" r:id="rId1"/>
    <sheet name="list" sheetId="1" r:id="rId2"/>
    <sheet name="Card-motamahn" sheetId="4" r:id="rId3"/>
  </sheets>
  <definedNames>
    <definedName name="DATA">list!$A$2:$K$7397</definedName>
    <definedName name="P">INDEX(list!$K$2:$K$21000,MATCH('Card-motamahn'!$C$5,list!$B$2:$B$21000,0))</definedName>
    <definedName name="PI">INDEX(list!$K$2:$K$11800,MATCH('Card-motamahn'!$J$5,list!$B$2:$B$910000,0))</definedName>
    <definedName name="PII">INDEX(list!$K$2:$K$21000,MATCH('Card-motamahn'!$C$16,list!$B$2:$B$21000,0))</definedName>
    <definedName name="PIII">INDEX(list!$K$2:$K$21000,MATCH('Card-motamahn'!$J$16,list!$B$2:$B$21000,0))</definedName>
    <definedName name="PIIII">INDEX(list!$K$2:$K$21000,MATCH('Card-motamahn'!$C$27,list!$B$2:$B$21000,0))</definedName>
    <definedName name="PIIIII">INDEX(list!$K$2:$K$21000,MATCH('Card-motamahn'!$J$27,list!$B$2:$B$21000,0))</definedName>
    <definedName name="PIIIIII">INDEX(list!$K$2:$K$21000,MATCH('Card-motamahn'!$C$38,list!$B$2:$B$21000,0))</definedName>
    <definedName name="PIIIIIII">INDEX(list!$K$2:$K$21000,MATCH('Card-motamahn'!$J$38,list!$B$2:$B$21000,0))</definedName>
    <definedName name="PIIIIIIII">INDEX(list!$K$2:$K$21000,MATCH('Card-motamahn'!$C$49,list!$B$2:$B$21000,0))</definedName>
    <definedName name="PIIIIIIIIII">INDEX(list!$K$2:$K$21000,MATCH('Card-motamahn'!$J$49,list!$B$2:$B$21000,0))</definedName>
  </definedNames>
  <calcPr calcId="191029"/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J2" i="1"/>
  <c r="I2" i="1"/>
  <c r="H2" i="1"/>
  <c r="C8" i="4" s="1"/>
  <c r="H3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" i="1"/>
  <c r="F4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2" i="1"/>
  <c r="F3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2" i="1"/>
  <c r="C7" i="4" s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B2" i="1"/>
  <c r="C5" i="4" s="1"/>
  <c r="E2" i="1"/>
  <c r="D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C268" i="1" s="1"/>
  <c r="M268" i="1" s="1"/>
  <c r="B269" i="1"/>
  <c r="C269" i="1" s="1"/>
  <c r="M269" i="1" s="1"/>
  <c r="B270" i="1"/>
  <c r="C270" i="1" s="1"/>
  <c r="M270" i="1" s="1"/>
  <c r="B271" i="1"/>
  <c r="C271" i="1" s="1"/>
  <c r="M271" i="1" s="1"/>
  <c r="B272" i="1"/>
  <c r="C272" i="1" s="1"/>
  <c r="M272" i="1" s="1"/>
  <c r="B273" i="1"/>
  <c r="C273" i="1" s="1"/>
  <c r="M273" i="1" s="1"/>
  <c r="B274" i="1"/>
  <c r="C274" i="1" s="1"/>
  <c r="M274" i="1" s="1"/>
  <c r="B275" i="1"/>
  <c r="C275" i="1" s="1"/>
  <c r="M275" i="1" s="1"/>
  <c r="B276" i="1"/>
  <c r="C276" i="1" s="1"/>
  <c r="M276" i="1" s="1"/>
  <c r="B277" i="1"/>
  <c r="C277" i="1" s="1"/>
  <c r="M277" i="1" s="1"/>
  <c r="B278" i="1"/>
  <c r="C278" i="1" s="1"/>
  <c r="M278" i="1" s="1"/>
  <c r="B279" i="1"/>
  <c r="C279" i="1" s="1"/>
  <c r="M279" i="1" s="1"/>
  <c r="B280" i="1"/>
  <c r="C280" i="1" s="1"/>
  <c r="M280" i="1" s="1"/>
  <c r="B281" i="1"/>
  <c r="C281" i="1" s="1"/>
  <c r="M281" i="1" s="1"/>
  <c r="B282" i="1"/>
  <c r="C282" i="1" s="1"/>
  <c r="M282" i="1" s="1"/>
  <c r="B283" i="1"/>
  <c r="C283" i="1" s="1"/>
  <c r="M283" i="1" s="1"/>
  <c r="B284" i="1"/>
  <c r="C284" i="1" s="1"/>
  <c r="M284" i="1" s="1"/>
  <c r="B285" i="1"/>
  <c r="C285" i="1" s="1"/>
  <c r="M285" i="1" s="1"/>
  <c r="B286" i="1"/>
  <c r="C286" i="1" s="1"/>
  <c r="M286" i="1" s="1"/>
  <c r="B287" i="1"/>
  <c r="C287" i="1" s="1"/>
  <c r="M287" i="1" s="1"/>
  <c r="B288" i="1"/>
  <c r="C288" i="1" s="1"/>
  <c r="M288" i="1" s="1"/>
  <c r="B289" i="1"/>
  <c r="C289" i="1" s="1"/>
  <c r="M289" i="1" s="1"/>
  <c r="B290" i="1"/>
  <c r="C290" i="1" s="1"/>
  <c r="M290" i="1" s="1"/>
  <c r="B291" i="1"/>
  <c r="C291" i="1" s="1"/>
  <c r="M291" i="1" s="1"/>
  <c r="B292" i="1"/>
  <c r="C292" i="1" s="1"/>
  <c r="M292" i="1" s="1"/>
  <c r="B293" i="1"/>
  <c r="C293" i="1" s="1"/>
  <c r="M293" i="1" s="1"/>
  <c r="B294" i="1"/>
  <c r="C294" i="1" s="1"/>
  <c r="M294" i="1" s="1"/>
  <c r="B295" i="1"/>
  <c r="C295" i="1" s="1"/>
  <c r="M295" i="1" s="1"/>
  <c r="B296" i="1"/>
  <c r="C296" i="1" s="1"/>
  <c r="M296" i="1" s="1"/>
  <c r="B297" i="1"/>
  <c r="C297" i="1" s="1"/>
  <c r="M297" i="1" s="1"/>
  <c r="B298" i="1"/>
  <c r="C298" i="1" s="1"/>
  <c r="M298" i="1" s="1"/>
  <c r="B299" i="1"/>
  <c r="C299" i="1" s="1"/>
  <c r="M299" i="1" s="1"/>
  <c r="B300" i="1"/>
  <c r="C300" i="1" s="1"/>
  <c r="M300" i="1" s="1"/>
  <c r="B301" i="1"/>
  <c r="C301" i="1" s="1"/>
  <c r="M301" i="1" s="1"/>
  <c r="B302" i="1"/>
  <c r="C302" i="1" s="1"/>
  <c r="M302" i="1" s="1"/>
  <c r="B303" i="1"/>
  <c r="C303" i="1" s="1"/>
  <c r="M303" i="1" s="1"/>
  <c r="B304" i="1"/>
  <c r="C304" i="1" s="1"/>
  <c r="M304" i="1" s="1"/>
  <c r="B305" i="1"/>
  <c r="C305" i="1" s="1"/>
  <c r="M305" i="1" s="1"/>
  <c r="B306" i="1"/>
  <c r="C306" i="1" s="1"/>
  <c r="M306" i="1" s="1"/>
  <c r="B307" i="1"/>
  <c r="C307" i="1" s="1"/>
  <c r="M307" i="1" s="1"/>
  <c r="B308" i="1"/>
  <c r="C308" i="1" s="1"/>
  <c r="M308" i="1" s="1"/>
  <c r="B309" i="1"/>
  <c r="C309" i="1" s="1"/>
  <c r="M309" i="1" s="1"/>
  <c r="B310" i="1"/>
  <c r="C310" i="1" s="1"/>
  <c r="M310" i="1" s="1"/>
  <c r="B311" i="1"/>
  <c r="C311" i="1" s="1"/>
  <c r="M311" i="1" s="1"/>
  <c r="B312" i="1"/>
  <c r="C312" i="1" s="1"/>
  <c r="M312" i="1" s="1"/>
  <c r="B313" i="1"/>
  <c r="C313" i="1" s="1"/>
  <c r="M313" i="1" s="1"/>
  <c r="B314" i="1"/>
  <c r="C314" i="1" s="1"/>
  <c r="M314" i="1" s="1"/>
  <c r="B315" i="1"/>
  <c r="C315" i="1" s="1"/>
  <c r="M315" i="1" s="1"/>
  <c r="B316" i="1"/>
  <c r="C316" i="1" s="1"/>
  <c r="M316" i="1" s="1"/>
  <c r="B317" i="1"/>
  <c r="C317" i="1" s="1"/>
  <c r="M317" i="1" s="1"/>
  <c r="B318" i="1"/>
  <c r="C318" i="1" s="1"/>
  <c r="M318" i="1" s="1"/>
  <c r="B319" i="1"/>
  <c r="C319" i="1" s="1"/>
  <c r="M319" i="1" s="1"/>
  <c r="B320" i="1"/>
  <c r="C320" i="1" s="1"/>
  <c r="M320" i="1" s="1"/>
  <c r="B321" i="1"/>
  <c r="C321" i="1" s="1"/>
  <c r="M321" i="1" s="1"/>
  <c r="B322" i="1"/>
  <c r="C322" i="1" s="1"/>
  <c r="M322" i="1" s="1"/>
  <c r="B323" i="1"/>
  <c r="C323" i="1" s="1"/>
  <c r="M323" i="1" s="1"/>
  <c r="B324" i="1"/>
  <c r="C324" i="1" s="1"/>
  <c r="M324" i="1" s="1"/>
  <c r="B325" i="1"/>
  <c r="C325" i="1" s="1"/>
  <c r="M325" i="1" s="1"/>
  <c r="B326" i="1"/>
  <c r="C326" i="1" s="1"/>
  <c r="M326" i="1" s="1"/>
  <c r="B327" i="1"/>
  <c r="C327" i="1" s="1"/>
  <c r="M327" i="1" s="1"/>
  <c r="B328" i="1"/>
  <c r="C328" i="1" s="1"/>
  <c r="M328" i="1" s="1"/>
  <c r="B329" i="1"/>
  <c r="C329" i="1" s="1"/>
  <c r="M329" i="1" s="1"/>
  <c r="B330" i="1"/>
  <c r="C330" i="1" s="1"/>
  <c r="M330" i="1" s="1"/>
  <c r="B331" i="1"/>
  <c r="C331" i="1" s="1"/>
  <c r="M331" i="1" s="1"/>
  <c r="B332" i="1"/>
  <c r="C332" i="1" s="1"/>
  <c r="M332" i="1" s="1"/>
  <c r="B333" i="1"/>
  <c r="C333" i="1" s="1"/>
  <c r="M333" i="1" s="1"/>
  <c r="B334" i="1"/>
  <c r="C334" i="1" s="1"/>
  <c r="M334" i="1" s="1"/>
  <c r="B335" i="1"/>
  <c r="C335" i="1" s="1"/>
  <c r="M335" i="1" s="1"/>
  <c r="B336" i="1"/>
  <c r="C336" i="1" s="1"/>
  <c r="M336" i="1" s="1"/>
  <c r="B337" i="1"/>
  <c r="C337" i="1" s="1"/>
  <c r="M337" i="1" s="1"/>
  <c r="B338" i="1"/>
  <c r="C338" i="1" s="1"/>
  <c r="M338" i="1" s="1"/>
  <c r="B339" i="1"/>
  <c r="C339" i="1" s="1"/>
  <c r="M339" i="1" s="1"/>
  <c r="B340" i="1"/>
  <c r="C340" i="1" s="1"/>
  <c r="M340" i="1" s="1"/>
  <c r="B341" i="1"/>
  <c r="C341" i="1" s="1"/>
  <c r="M341" i="1" s="1"/>
  <c r="B342" i="1"/>
  <c r="C342" i="1" s="1"/>
  <c r="M342" i="1" s="1"/>
  <c r="B343" i="1"/>
  <c r="C343" i="1" s="1"/>
  <c r="M343" i="1" s="1"/>
  <c r="B344" i="1"/>
  <c r="C344" i="1" s="1"/>
  <c r="M344" i="1" s="1"/>
  <c r="B345" i="1"/>
  <c r="C345" i="1" s="1"/>
  <c r="M345" i="1" s="1"/>
  <c r="B346" i="1"/>
  <c r="C346" i="1" s="1"/>
  <c r="M346" i="1" s="1"/>
  <c r="B347" i="1"/>
  <c r="C347" i="1" s="1"/>
  <c r="M347" i="1" s="1"/>
  <c r="B348" i="1"/>
  <c r="C348" i="1" s="1"/>
  <c r="M348" i="1" s="1"/>
  <c r="B349" i="1"/>
  <c r="C349" i="1" s="1"/>
  <c r="M349" i="1" s="1"/>
  <c r="B350" i="1"/>
  <c r="C350" i="1" s="1"/>
  <c r="M350" i="1" s="1"/>
  <c r="B351" i="1"/>
  <c r="C351" i="1" s="1"/>
  <c r="M351" i="1" s="1"/>
  <c r="B352" i="1"/>
  <c r="C352" i="1" s="1"/>
  <c r="M352" i="1" s="1"/>
  <c r="B353" i="1"/>
  <c r="C353" i="1" s="1"/>
  <c r="M353" i="1" s="1"/>
  <c r="B354" i="1"/>
  <c r="C354" i="1" s="1"/>
  <c r="M354" i="1" s="1"/>
  <c r="B355" i="1"/>
  <c r="C355" i="1" s="1"/>
  <c r="M355" i="1" s="1"/>
  <c r="B356" i="1"/>
  <c r="C356" i="1" s="1"/>
  <c r="M356" i="1" s="1"/>
  <c r="B357" i="1"/>
  <c r="C357" i="1" s="1"/>
  <c r="M357" i="1" s="1"/>
  <c r="B358" i="1"/>
  <c r="C358" i="1" s="1"/>
  <c r="M358" i="1" s="1"/>
  <c r="B359" i="1"/>
  <c r="C359" i="1" s="1"/>
  <c r="M359" i="1" s="1"/>
  <c r="B360" i="1"/>
  <c r="C360" i="1" s="1"/>
  <c r="M360" i="1" s="1"/>
  <c r="B361" i="1"/>
  <c r="C361" i="1" s="1"/>
  <c r="M361" i="1" s="1"/>
  <c r="B362" i="1"/>
  <c r="C362" i="1" s="1"/>
  <c r="M362" i="1" s="1"/>
  <c r="B363" i="1"/>
  <c r="C363" i="1" s="1"/>
  <c r="M363" i="1" s="1"/>
  <c r="B364" i="1"/>
  <c r="C364" i="1" s="1"/>
  <c r="M364" i="1" s="1"/>
  <c r="B365" i="1"/>
  <c r="C365" i="1" s="1"/>
  <c r="M365" i="1" s="1"/>
  <c r="B366" i="1"/>
  <c r="C366" i="1" s="1"/>
  <c r="M366" i="1" s="1"/>
  <c r="B367" i="1"/>
  <c r="C367" i="1" s="1"/>
  <c r="M367" i="1" s="1"/>
  <c r="B368" i="1"/>
  <c r="C368" i="1" s="1"/>
  <c r="M368" i="1" s="1"/>
  <c r="B369" i="1"/>
  <c r="C369" i="1" s="1"/>
  <c r="M369" i="1" s="1"/>
  <c r="B370" i="1"/>
  <c r="C370" i="1" s="1"/>
  <c r="M370" i="1" s="1"/>
  <c r="B371" i="1"/>
  <c r="C371" i="1" s="1"/>
  <c r="M371" i="1" s="1"/>
  <c r="B372" i="1"/>
  <c r="C372" i="1" s="1"/>
  <c r="M372" i="1" s="1"/>
  <c r="B373" i="1"/>
  <c r="C373" i="1" s="1"/>
  <c r="M373" i="1" s="1"/>
  <c r="B374" i="1"/>
  <c r="C374" i="1" s="1"/>
  <c r="M374" i="1" s="1"/>
  <c r="B375" i="1"/>
  <c r="C375" i="1" s="1"/>
  <c r="M375" i="1" s="1"/>
  <c r="B376" i="1"/>
  <c r="C376" i="1" s="1"/>
  <c r="M376" i="1" s="1"/>
  <c r="B377" i="1"/>
  <c r="C377" i="1" s="1"/>
  <c r="M377" i="1" s="1"/>
  <c r="B378" i="1"/>
  <c r="C378" i="1" s="1"/>
  <c r="M378" i="1" s="1"/>
  <c r="B379" i="1"/>
  <c r="C379" i="1" s="1"/>
  <c r="M379" i="1" s="1"/>
  <c r="B380" i="1"/>
  <c r="C380" i="1" s="1"/>
  <c r="M380" i="1" s="1"/>
  <c r="B381" i="1"/>
  <c r="C381" i="1" s="1"/>
  <c r="M381" i="1" s="1"/>
  <c r="B382" i="1"/>
  <c r="C382" i="1" s="1"/>
  <c r="M382" i="1" s="1"/>
  <c r="B383" i="1"/>
  <c r="C383" i="1" s="1"/>
  <c r="M383" i="1" s="1"/>
  <c r="B384" i="1"/>
  <c r="C384" i="1" s="1"/>
  <c r="M384" i="1" s="1"/>
  <c r="B385" i="1"/>
  <c r="C385" i="1" s="1"/>
  <c r="M385" i="1" s="1"/>
  <c r="B386" i="1"/>
  <c r="C386" i="1" s="1"/>
  <c r="M386" i="1" s="1"/>
  <c r="B387" i="1"/>
  <c r="C387" i="1" s="1"/>
  <c r="M387" i="1" s="1"/>
  <c r="B388" i="1"/>
  <c r="C388" i="1" s="1"/>
  <c r="M388" i="1" s="1"/>
  <c r="B389" i="1"/>
  <c r="C389" i="1" s="1"/>
  <c r="M389" i="1" s="1"/>
  <c r="B390" i="1"/>
  <c r="C390" i="1" s="1"/>
  <c r="M390" i="1" s="1"/>
  <c r="B391" i="1"/>
  <c r="C391" i="1" s="1"/>
  <c r="M391" i="1" s="1"/>
  <c r="B392" i="1"/>
  <c r="C392" i="1" s="1"/>
  <c r="M392" i="1" s="1"/>
  <c r="B393" i="1"/>
  <c r="C393" i="1" s="1"/>
  <c r="M393" i="1" s="1"/>
  <c r="B394" i="1"/>
  <c r="C394" i="1" s="1"/>
  <c r="M394" i="1" s="1"/>
  <c r="B395" i="1"/>
  <c r="C395" i="1" s="1"/>
  <c r="M395" i="1" s="1"/>
  <c r="B396" i="1"/>
  <c r="C396" i="1" s="1"/>
  <c r="M396" i="1" s="1"/>
  <c r="B397" i="1"/>
  <c r="C397" i="1" s="1"/>
  <c r="M397" i="1" s="1"/>
  <c r="B398" i="1"/>
  <c r="C398" i="1" s="1"/>
  <c r="M398" i="1" s="1"/>
  <c r="B399" i="1"/>
  <c r="C399" i="1" s="1"/>
  <c r="M399" i="1" s="1"/>
  <c r="B400" i="1"/>
  <c r="C400" i="1" s="1"/>
  <c r="M400" i="1" s="1"/>
  <c r="B401" i="1"/>
  <c r="C401" i="1" s="1"/>
  <c r="M401" i="1" s="1"/>
  <c r="M402" i="1"/>
  <c r="M403" i="1"/>
  <c r="M404" i="1"/>
  <c r="M405" i="1"/>
  <c r="M406" i="1"/>
  <c r="M407" i="1"/>
  <c r="C6" i="4" l="1"/>
  <c r="E9" i="4"/>
  <c r="C2" i="1"/>
  <c r="C103" i="1"/>
  <c r="C104" i="1"/>
  <c r="M104" i="1" s="1"/>
  <c r="C105" i="1"/>
  <c r="M105" i="1" s="1"/>
  <c r="C106" i="1"/>
  <c r="M106" i="1" s="1"/>
  <c r="C107" i="1"/>
  <c r="M107" i="1" s="1"/>
  <c r="C108" i="1"/>
  <c r="M108" i="1" s="1"/>
  <c r="C109" i="1"/>
  <c r="M109" i="1" s="1"/>
  <c r="C110" i="1"/>
  <c r="M110" i="1" s="1"/>
  <c r="C111" i="1"/>
  <c r="M111" i="1" s="1"/>
  <c r="C112" i="1"/>
  <c r="M112" i="1" s="1"/>
  <c r="C113" i="1"/>
  <c r="M113" i="1" s="1"/>
  <c r="C114" i="1"/>
  <c r="M114" i="1" s="1"/>
  <c r="C115" i="1"/>
  <c r="M115" i="1" s="1"/>
  <c r="C116" i="1"/>
  <c r="M116" i="1" s="1"/>
  <c r="C117" i="1"/>
  <c r="M117" i="1" s="1"/>
  <c r="C118" i="1"/>
  <c r="M118" i="1" s="1"/>
  <c r="C119" i="1"/>
  <c r="M119" i="1" s="1"/>
  <c r="C120" i="1"/>
  <c r="M120" i="1" s="1"/>
  <c r="C121" i="1"/>
  <c r="M121" i="1" s="1"/>
  <c r="C122" i="1"/>
  <c r="M122" i="1" s="1"/>
  <c r="C123" i="1"/>
  <c r="M123" i="1" s="1"/>
  <c r="C124" i="1"/>
  <c r="M124" i="1" s="1"/>
  <c r="C125" i="1"/>
  <c r="M125" i="1" s="1"/>
  <c r="C126" i="1"/>
  <c r="M126" i="1" s="1"/>
  <c r="C127" i="1"/>
  <c r="M127" i="1" s="1"/>
  <c r="C128" i="1"/>
  <c r="M128" i="1" s="1"/>
  <c r="C129" i="1"/>
  <c r="M129" i="1" s="1"/>
  <c r="C130" i="1"/>
  <c r="M130" i="1" s="1"/>
  <c r="C131" i="1"/>
  <c r="M131" i="1" s="1"/>
  <c r="C132" i="1"/>
  <c r="M132" i="1" s="1"/>
  <c r="C133" i="1"/>
  <c r="M133" i="1" s="1"/>
  <c r="C134" i="1"/>
  <c r="M134" i="1" s="1"/>
  <c r="C135" i="1"/>
  <c r="M135" i="1" s="1"/>
  <c r="C136" i="1"/>
  <c r="M136" i="1" s="1"/>
  <c r="C137" i="1"/>
  <c r="M137" i="1" s="1"/>
  <c r="C138" i="1"/>
  <c r="M138" i="1" s="1"/>
  <c r="C139" i="1"/>
  <c r="M139" i="1" s="1"/>
  <c r="C140" i="1"/>
  <c r="M140" i="1" s="1"/>
  <c r="C141" i="1"/>
  <c r="M141" i="1" s="1"/>
  <c r="C142" i="1"/>
  <c r="M142" i="1" s="1"/>
  <c r="C143" i="1"/>
  <c r="M143" i="1" s="1"/>
  <c r="C144" i="1"/>
  <c r="M144" i="1" s="1"/>
  <c r="C145" i="1"/>
  <c r="M145" i="1" s="1"/>
  <c r="C146" i="1"/>
  <c r="M146" i="1" s="1"/>
  <c r="C147" i="1"/>
  <c r="M147" i="1" s="1"/>
  <c r="C148" i="1"/>
  <c r="M148" i="1" s="1"/>
  <c r="C149" i="1"/>
  <c r="M149" i="1" s="1"/>
  <c r="C150" i="1"/>
  <c r="M150" i="1" s="1"/>
  <c r="C151" i="1"/>
  <c r="M151" i="1" s="1"/>
  <c r="C152" i="1"/>
  <c r="M152" i="1" s="1"/>
  <c r="C153" i="1"/>
  <c r="M153" i="1" s="1"/>
  <c r="C154" i="1"/>
  <c r="M154" i="1" s="1"/>
  <c r="C155" i="1"/>
  <c r="M155" i="1" s="1"/>
  <c r="C156" i="1"/>
  <c r="M156" i="1" s="1"/>
  <c r="C157" i="1"/>
  <c r="M157" i="1" s="1"/>
  <c r="C158" i="1"/>
  <c r="M158" i="1" s="1"/>
  <c r="C159" i="1"/>
  <c r="M159" i="1" s="1"/>
  <c r="C160" i="1"/>
  <c r="M160" i="1" s="1"/>
  <c r="C161" i="1"/>
  <c r="M161" i="1" s="1"/>
  <c r="C162" i="1"/>
  <c r="M162" i="1" s="1"/>
  <c r="C163" i="1"/>
  <c r="M163" i="1" s="1"/>
  <c r="C164" i="1"/>
  <c r="M164" i="1" s="1"/>
  <c r="C165" i="1"/>
  <c r="M165" i="1" s="1"/>
  <c r="C166" i="1"/>
  <c r="M166" i="1" s="1"/>
  <c r="C167" i="1"/>
  <c r="M167" i="1" s="1"/>
  <c r="C168" i="1"/>
  <c r="M168" i="1" s="1"/>
  <c r="C169" i="1"/>
  <c r="M169" i="1" s="1"/>
  <c r="C170" i="1"/>
  <c r="M170" i="1" s="1"/>
  <c r="C171" i="1"/>
  <c r="M171" i="1" s="1"/>
  <c r="C172" i="1"/>
  <c r="M172" i="1" s="1"/>
  <c r="C173" i="1"/>
  <c r="M173" i="1" s="1"/>
  <c r="C174" i="1"/>
  <c r="M174" i="1" s="1"/>
  <c r="C175" i="1"/>
  <c r="M175" i="1" s="1"/>
  <c r="C176" i="1"/>
  <c r="M176" i="1" s="1"/>
  <c r="C177" i="1"/>
  <c r="M177" i="1" s="1"/>
  <c r="C178" i="1"/>
  <c r="M178" i="1" s="1"/>
  <c r="C179" i="1"/>
  <c r="M179" i="1" s="1"/>
  <c r="C180" i="1"/>
  <c r="M180" i="1" s="1"/>
  <c r="C181" i="1"/>
  <c r="M181" i="1" s="1"/>
  <c r="C182" i="1"/>
  <c r="M182" i="1" s="1"/>
  <c r="C183" i="1"/>
  <c r="M183" i="1" s="1"/>
  <c r="C184" i="1"/>
  <c r="M184" i="1" s="1"/>
  <c r="C185" i="1"/>
  <c r="M185" i="1" s="1"/>
  <c r="C186" i="1"/>
  <c r="M186" i="1" s="1"/>
  <c r="C187" i="1"/>
  <c r="M187" i="1" s="1"/>
  <c r="C188" i="1"/>
  <c r="M188" i="1" s="1"/>
  <c r="C189" i="1"/>
  <c r="M189" i="1" s="1"/>
  <c r="C190" i="1"/>
  <c r="M190" i="1" s="1"/>
  <c r="C191" i="1"/>
  <c r="M191" i="1" s="1"/>
  <c r="C192" i="1"/>
  <c r="M192" i="1" s="1"/>
  <c r="C193" i="1"/>
  <c r="M193" i="1" s="1"/>
  <c r="C194" i="1"/>
  <c r="M194" i="1" s="1"/>
  <c r="C195" i="1"/>
  <c r="M195" i="1" s="1"/>
  <c r="C196" i="1"/>
  <c r="M196" i="1" s="1"/>
  <c r="C197" i="1"/>
  <c r="M197" i="1" s="1"/>
  <c r="C198" i="1"/>
  <c r="M198" i="1" s="1"/>
  <c r="C199" i="1"/>
  <c r="M199" i="1" s="1"/>
  <c r="C200" i="1"/>
  <c r="M200" i="1" s="1"/>
  <c r="C201" i="1"/>
  <c r="M201" i="1" s="1"/>
  <c r="C202" i="1"/>
  <c r="M202" i="1" s="1"/>
  <c r="C203" i="1"/>
  <c r="M203" i="1" s="1"/>
  <c r="C204" i="1"/>
  <c r="M204" i="1" s="1"/>
  <c r="C205" i="1"/>
  <c r="M205" i="1" s="1"/>
  <c r="C206" i="1"/>
  <c r="M206" i="1" s="1"/>
  <c r="C207" i="1"/>
  <c r="M207" i="1" s="1"/>
  <c r="C208" i="1"/>
  <c r="M208" i="1" s="1"/>
  <c r="C209" i="1"/>
  <c r="M209" i="1" s="1"/>
  <c r="C210" i="1"/>
  <c r="M210" i="1" s="1"/>
  <c r="C211" i="1"/>
  <c r="M211" i="1" s="1"/>
  <c r="C212" i="1"/>
  <c r="M212" i="1" s="1"/>
  <c r="C213" i="1"/>
  <c r="M213" i="1" s="1"/>
  <c r="C214" i="1"/>
  <c r="M214" i="1" s="1"/>
  <c r="C215" i="1"/>
  <c r="M215" i="1" s="1"/>
  <c r="C216" i="1"/>
  <c r="M216" i="1" s="1"/>
  <c r="C217" i="1"/>
  <c r="M217" i="1" s="1"/>
  <c r="C218" i="1"/>
  <c r="M218" i="1" s="1"/>
  <c r="C219" i="1"/>
  <c r="M219" i="1" s="1"/>
  <c r="C220" i="1"/>
  <c r="M220" i="1" s="1"/>
  <c r="C221" i="1"/>
  <c r="M221" i="1" s="1"/>
  <c r="C222" i="1"/>
  <c r="M222" i="1" s="1"/>
  <c r="C223" i="1"/>
  <c r="M223" i="1" s="1"/>
  <c r="C224" i="1"/>
  <c r="M224" i="1" s="1"/>
  <c r="C225" i="1"/>
  <c r="M225" i="1" s="1"/>
  <c r="C226" i="1"/>
  <c r="M226" i="1" s="1"/>
  <c r="C227" i="1"/>
  <c r="M227" i="1" s="1"/>
  <c r="C228" i="1"/>
  <c r="M228" i="1" s="1"/>
  <c r="C229" i="1"/>
  <c r="M229" i="1" s="1"/>
  <c r="C230" i="1"/>
  <c r="M230" i="1" s="1"/>
  <c r="C231" i="1"/>
  <c r="M231" i="1" s="1"/>
  <c r="C232" i="1"/>
  <c r="M232" i="1" s="1"/>
  <c r="C233" i="1"/>
  <c r="M233" i="1" s="1"/>
  <c r="C234" i="1"/>
  <c r="M234" i="1" s="1"/>
  <c r="C235" i="1"/>
  <c r="M235" i="1" s="1"/>
  <c r="C236" i="1"/>
  <c r="M236" i="1" s="1"/>
  <c r="C237" i="1"/>
  <c r="M237" i="1" s="1"/>
  <c r="C238" i="1"/>
  <c r="M238" i="1" s="1"/>
  <c r="C239" i="1"/>
  <c r="M239" i="1" s="1"/>
  <c r="C240" i="1"/>
  <c r="M240" i="1" s="1"/>
  <c r="C241" i="1"/>
  <c r="M241" i="1" s="1"/>
  <c r="C242" i="1"/>
  <c r="M242" i="1" s="1"/>
  <c r="C243" i="1"/>
  <c r="M243" i="1" s="1"/>
  <c r="C244" i="1"/>
  <c r="M244" i="1" s="1"/>
  <c r="C245" i="1"/>
  <c r="M245" i="1" s="1"/>
  <c r="C246" i="1"/>
  <c r="M246" i="1" s="1"/>
  <c r="C247" i="1"/>
  <c r="M247" i="1" s="1"/>
  <c r="C248" i="1"/>
  <c r="M248" i="1" s="1"/>
  <c r="C249" i="1"/>
  <c r="M249" i="1" s="1"/>
  <c r="C250" i="1"/>
  <c r="M250" i="1" s="1"/>
  <c r="C251" i="1"/>
  <c r="M251" i="1" s="1"/>
  <c r="C252" i="1"/>
  <c r="M252" i="1" s="1"/>
  <c r="C253" i="1"/>
  <c r="M253" i="1" s="1"/>
  <c r="C254" i="1"/>
  <c r="M254" i="1" s="1"/>
  <c r="C255" i="1"/>
  <c r="M255" i="1" s="1"/>
  <c r="C256" i="1"/>
  <c r="M256" i="1" s="1"/>
  <c r="C257" i="1"/>
  <c r="M257" i="1" s="1"/>
  <c r="C258" i="1"/>
  <c r="M258" i="1" s="1"/>
  <c r="C259" i="1"/>
  <c r="M259" i="1" s="1"/>
  <c r="C260" i="1"/>
  <c r="M260" i="1" s="1"/>
  <c r="C261" i="1"/>
  <c r="M261" i="1" s="1"/>
  <c r="C262" i="1"/>
  <c r="M262" i="1" s="1"/>
  <c r="C263" i="1"/>
  <c r="M263" i="1" s="1"/>
  <c r="C264" i="1"/>
  <c r="M264" i="1" s="1"/>
  <c r="C265" i="1"/>
  <c r="M265" i="1" s="1"/>
  <c r="C266" i="1"/>
  <c r="M266" i="1" s="1"/>
  <c r="C267" i="1"/>
  <c r="M267" i="1" s="1"/>
  <c r="C3" i="1"/>
  <c r="C9" i="4"/>
  <c r="C6" i="1"/>
  <c r="C8" i="1"/>
  <c r="C9" i="1"/>
  <c r="C11" i="1"/>
  <c r="C12" i="1"/>
  <c r="C13" i="1"/>
  <c r="C14" i="1"/>
  <c r="C15" i="1"/>
  <c r="C16" i="1"/>
  <c r="C17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7" i="1"/>
  <c r="C18" i="1"/>
  <c r="C10" i="1" l="1"/>
  <c r="C4" i="1" l="1"/>
  <c r="C5" i="1"/>
  <c r="E7" i="4" l="1"/>
  <c r="Q5" i="4"/>
  <c r="J8" i="4" s="1"/>
  <c r="I53" i="4"/>
  <c r="B53" i="4"/>
  <c r="I42" i="4"/>
  <c r="B42" i="4"/>
  <c r="I31" i="4"/>
  <c r="B31" i="4"/>
  <c r="I20" i="4"/>
  <c r="B20" i="4"/>
  <c r="I9" i="4"/>
  <c r="Q6" i="4" l="1"/>
  <c r="C18" i="4" s="1"/>
  <c r="L9" i="4"/>
  <c r="J7" i="4"/>
  <c r="L7" i="4"/>
  <c r="J6" i="4"/>
  <c r="J5" i="4"/>
  <c r="I10" i="4" s="1"/>
  <c r="J9" i="4"/>
  <c r="B10" i="4"/>
  <c r="S10" i="4"/>
  <c r="C20" i="4" l="1"/>
  <c r="C17" i="4"/>
  <c r="E20" i="4"/>
  <c r="C19" i="4"/>
  <c r="E18" i="4"/>
  <c r="C16" i="4"/>
  <c r="B21" i="4" s="1"/>
  <c r="Q7" i="4"/>
  <c r="L18" i="4" l="1"/>
  <c r="L20" i="4"/>
  <c r="J20" i="4"/>
  <c r="J19" i="4"/>
  <c r="J17" i="4"/>
  <c r="J18" i="4"/>
  <c r="J16" i="4"/>
  <c r="I21" i="4" s="1"/>
  <c r="Q8" i="4"/>
  <c r="E31" i="4" l="1"/>
  <c r="C29" i="4"/>
  <c r="C27" i="4"/>
  <c r="B32" i="4" s="1"/>
  <c r="C28" i="4"/>
  <c r="C30" i="4"/>
  <c r="E29" i="4"/>
  <c r="C31" i="4"/>
  <c r="Q9" i="4"/>
  <c r="J27" i="4" l="1"/>
  <c r="I32" i="4" s="1"/>
  <c r="L31" i="4"/>
  <c r="J31" i="4"/>
  <c r="J30" i="4"/>
  <c r="L29" i="4"/>
  <c r="J28" i="4"/>
  <c r="J29" i="4"/>
  <c r="Q10" i="4"/>
  <c r="E40" i="4" l="1"/>
  <c r="C42" i="4"/>
  <c r="C41" i="4"/>
  <c r="C40" i="4"/>
  <c r="C38" i="4"/>
  <c r="B43" i="4" s="1"/>
  <c r="E42" i="4"/>
  <c r="C39" i="4"/>
  <c r="Q11" i="4"/>
  <c r="L42" i="4" l="1"/>
  <c r="L40" i="4"/>
  <c r="J42" i="4"/>
  <c r="J41" i="4"/>
  <c r="J40" i="4"/>
  <c r="J39" i="4"/>
  <c r="J38" i="4"/>
  <c r="I43" i="4" s="1"/>
  <c r="Q12" i="4"/>
  <c r="C52" i="4" l="1"/>
  <c r="E51" i="4"/>
  <c r="C51" i="4"/>
  <c r="C49" i="4"/>
  <c r="B54" i="4" s="1"/>
  <c r="E53" i="4"/>
  <c r="C50" i="4"/>
  <c r="C53" i="4"/>
  <c r="Q13" i="4"/>
  <c r="J52" i="4" l="1"/>
  <c r="J53" i="4"/>
  <c r="L53" i="4"/>
  <c r="L51" i="4"/>
  <c r="J51" i="4"/>
  <c r="J50" i="4"/>
  <c r="J49" i="4"/>
  <c r="I54" i="4" s="1"/>
</calcChain>
</file>

<file path=xl/sharedStrings.xml><?xml version="1.0" encoding="utf-8"?>
<sst xmlns="http://schemas.openxmlformats.org/spreadsheetml/2006/main" count="2520" uniqueCount="1296">
  <si>
    <t>الجمهورية الجزائرية الديمقراطية الشعبية</t>
  </si>
  <si>
    <t>وزارة التكوين والتعليم المهنيين</t>
  </si>
  <si>
    <t>الاسم واللقب :</t>
  </si>
  <si>
    <t>تاريخ الميلاد :</t>
  </si>
  <si>
    <t>رقم التسجيل :</t>
  </si>
  <si>
    <t>الاختصاص :</t>
  </si>
  <si>
    <t>مركز التكوين المهني والتمهين الزاوية العابدية</t>
  </si>
  <si>
    <t>بــ :</t>
  </si>
  <si>
    <t>الرقم</t>
  </si>
  <si>
    <t>رقم التسجيل</t>
  </si>
  <si>
    <t>اللقب</t>
  </si>
  <si>
    <t>تاريخ الميلاد</t>
  </si>
  <si>
    <t>مكان الميلاد</t>
  </si>
  <si>
    <t>الاختصاص</t>
  </si>
  <si>
    <t>C:\Users\BenSelilih_Info\Pictures\photo\</t>
  </si>
  <si>
    <t>رقم التسجيل الالكتروني</t>
  </si>
  <si>
    <t>مدة التكوين من</t>
  </si>
  <si>
    <t>الى</t>
  </si>
  <si>
    <t>C:\Users\BenSelilih_Info\Pictures\photo\0116123A.jpg</t>
  </si>
  <si>
    <t>C:\Users\BenSelilih_Info\Pictures\photo\0057123A.jpg</t>
  </si>
  <si>
    <t>C:\Users\BenSelilih_Info\Pictures\photo\0117123A.jpg</t>
  </si>
  <si>
    <t>C:\Users\BenSelilih_Info\Pictures\photo\0074123A.jpg</t>
  </si>
  <si>
    <t>C:\Users\BenSelilih_Info\Pictures\photo\0018123A.jpg</t>
  </si>
  <si>
    <t>C:\Users\BenSelilih_Info\Pictures\photo\0113123A.jpg</t>
  </si>
  <si>
    <t>C:\Users\BenSelilih_Info\Pictures\photo\0094123A.jpg</t>
  </si>
  <si>
    <t>C:\Users\BenSelilih_Info\Pictures\photo\0097123A.jpg</t>
  </si>
  <si>
    <t>C:\Users\BenSelilih_Info\Pictures\photo\0083123A.jpg</t>
  </si>
  <si>
    <t>C:\Users\BenSelilih_Info\Pictures\photo\0006123A.jpg</t>
  </si>
  <si>
    <t>C:\Users\BenSelilih_Info\Pictures\photo\0112123A.jpg</t>
  </si>
  <si>
    <t>C:\Users\BenSelilih_Info\Pictures\photo\0052123A.jpg</t>
  </si>
  <si>
    <t>C:\Users\BenSelilih_Info\Pictures\photo\0073123A.jpg</t>
  </si>
  <si>
    <t>C:\Users\BenSelilih_Info\Pictures\photo\0084123A.jpg</t>
  </si>
  <si>
    <t>C:\Users\BenSelilih_Info\Pictures\photo\0019123A.jpg</t>
  </si>
  <si>
    <t>C:\Users\BenSelilih_Info\Pictures\photo\0114123A.jpg</t>
  </si>
  <si>
    <t>C:\Users\BenSelilih_Info\Pictures\photo\0108123A.jpg</t>
  </si>
  <si>
    <t>C:\Users\BenSelilih_Info\Pictures\photo\0013123A.jpg</t>
  </si>
  <si>
    <t>C:\Users\BenSelilih_Info\Pictures\photo\0109123A.jpg</t>
  </si>
  <si>
    <t>C:\Users\BenSelilih_Info\Pictures\photo\0111123A.jpg</t>
  </si>
  <si>
    <t>C:\Users\BenSelilih_Info\Pictures\photo\0107123A.jpg</t>
  </si>
  <si>
    <t>C:\Users\BenSelilih_Info\Pictures\photo\0110123A.jpg</t>
  </si>
  <si>
    <t>C:\Users\BenSelilih_Info\Pictures\photo\0106123A.jpg</t>
  </si>
  <si>
    <t>C:\Users\BenSelilih_Info\Pictures\photo\0048123A.jpg</t>
  </si>
  <si>
    <t>C:\Users\BenSelilih_Info\Pictures\photo\0103123A.jpg</t>
  </si>
  <si>
    <t>C:\Users\BenSelilih_Info\Pictures\photo\0102123A.jpg</t>
  </si>
  <si>
    <t>C:\Users\BenSelilih_Info\Pictures\photo\0078123A.jpg</t>
  </si>
  <si>
    <t>C:\Users\BenSelilih_Info\Pictures\photo\0091123A.jpg</t>
  </si>
  <si>
    <t>C:\Users\BenSelilih_Info\Pictures\photo\0120123A.jpg</t>
  </si>
  <si>
    <t>C:\Users\BenSelilih_Info\Pictures\photo\0118123A.jpg</t>
  </si>
  <si>
    <t>C:\Users\BenSelilih_Info\Pictures\photo\0098123A.jpg</t>
  </si>
  <si>
    <t>C:\Users\BenSelilih_Info\Pictures\photo\0041223A.jpg</t>
  </si>
  <si>
    <t>C:\Users\BenSelilih_Info\Pictures\photo\0144223A.jpg</t>
  </si>
  <si>
    <t>C:\Users\BenSelilih_Info\Pictures\photo\0075223A.jpg</t>
  </si>
  <si>
    <t>C:\Users\BenSelilih_Info\Pictures\photo\0164223A.jpg</t>
  </si>
  <si>
    <t>C:\Users\BenSelilih_Info\Pictures\photo\0007223A.jpg</t>
  </si>
  <si>
    <t>C:\Users\BenSelilih_Info\Pictures\photo\0112223A.jpg</t>
  </si>
  <si>
    <t>C:\Users\BenSelilih_Info\Pictures\photo\0005223A.jpg</t>
  </si>
  <si>
    <t>C:\Users\BenSelilih_Info\Pictures\photo\0172223A.jpg</t>
  </si>
  <si>
    <t>C:\Users\BenSelilih_Info\Pictures\photo\0162223A.jpg</t>
  </si>
  <si>
    <t>C:\Users\BenSelilih_Info\Pictures\photo\0197223A.jpg</t>
  </si>
  <si>
    <t>C:\Users\BenSelilih_Info\Pictures\photo\0143223A.jpg</t>
  </si>
  <si>
    <t>C:\Users\BenSelilih_Info\Pictures\photo\0052223A.jpg</t>
  </si>
  <si>
    <t>C:\Users\BenSelilih_Info\Pictures\photo\0132223A.jpg</t>
  </si>
  <si>
    <t>C:\Users\BenSelilih_Info\Pictures\photo\0191223A.jpg</t>
  </si>
  <si>
    <t>C:\Users\BenSelilih_Info\Pictures\photo\0141223A.jpg</t>
  </si>
  <si>
    <t>C:\Users\BenSelilih_Info\Pictures\photo\0119223A.jpg</t>
  </si>
  <si>
    <t>C:\Users\BenSelilih_Info\Pictures\photo\0084223A.jpg</t>
  </si>
  <si>
    <t>C:\Users\BenSelilih_Info\Pictures\photo\0023223A.jpg</t>
  </si>
  <si>
    <t>C:\Users\BenSelilih_Info\Pictures\photo\0140223A.jpg</t>
  </si>
  <si>
    <t>C:\Users\BenSelilih_Info\Pictures\photo\0087223A.jpg</t>
  </si>
  <si>
    <t>C:\Users\BenSelilih_Info\Pictures\photo\0153223A.jpg</t>
  </si>
  <si>
    <t>C:\Users\BenSelilih_Info\Pictures\photo\0047223A.jpg</t>
  </si>
  <si>
    <t>C:\Users\BenSelilih_Info\Pictures\photo\0188223A.jpg</t>
  </si>
  <si>
    <t>C:\Users\BenSelilih_Info\Pictures\photo\0085223A.jpg</t>
  </si>
  <si>
    <t>C:\Users\BenSelilih_Info\Pictures\photo\0053223A.jpg</t>
  </si>
  <si>
    <t>C:\Users\BenSelilih_Info\Pictures\photo\0136223A.jpg</t>
  </si>
  <si>
    <t>C:\Users\BenSelilih_Info\Pictures\photo\0139223A.jpg</t>
  </si>
  <si>
    <t>C:\Users\BenSelilih_Info\Pictures\photo\0199223A.jpg</t>
  </si>
  <si>
    <t>C:\Users\BenSelilih_Info\Pictures\photo\0138223A.jpg</t>
  </si>
  <si>
    <t>C:\Users\BenSelilih_Info\Pictures\photo\0054223A.jpg</t>
  </si>
  <si>
    <t>C:\Users\BenSelilih_Info\Pictures\photo\0267223A.jpg</t>
  </si>
  <si>
    <t>C:\Users\BenSelilih_Info\Pictures\photo\0049223A.jpg</t>
  </si>
  <si>
    <t>C:\Users\BenSelilih_Info\Pictures\photo\0115223A.jpg</t>
  </si>
  <si>
    <t>C:\Users\BenSelilih_Info\Pictures\photo\0056223A.jpg</t>
  </si>
  <si>
    <t>C:\Users\BenSelilih_Info\Pictures\photo\0117223A.jpg</t>
  </si>
  <si>
    <t>C:\Users\BenSelilih_Info\Pictures\photo\0170223A.jpg</t>
  </si>
  <si>
    <t>C:\Users\BenSelilih_Info\Pictures\photo\0133223A.jpg</t>
  </si>
  <si>
    <t>C:\Users\BenSelilih_Info\Pictures\photo\0048223A.jpg</t>
  </si>
  <si>
    <t>C:\Users\BenSelilih_Info\Pictures\photo\0206223A.jpg</t>
  </si>
  <si>
    <t>C:\Users\BenSelilih_Info\Pictures\photo\0018223A.jpg</t>
  </si>
  <si>
    <t>C:\Users\BenSelilih_Info\Pictures\photo\0211223A.jpg</t>
  </si>
  <si>
    <t>C:\Users\BenSelilih_Info\Pictures\photo\0025223A.jpg</t>
  </si>
  <si>
    <t>C:\Users\BenSelilih_Info\Pictures\photo\0055223A.jpg</t>
  </si>
  <si>
    <t>C:\Users\BenSelilih_Info\Pictures\photo\0187223A.jpg</t>
  </si>
  <si>
    <t>C:\Users\BenSelilih_Info\Pictures\photo\0026223A.jpg</t>
  </si>
  <si>
    <t>C:\Users\BenSelilih_Info\Pictures\photo\0171223A.jpg</t>
  </si>
  <si>
    <t>C:\Users\BenSelilih_Info\Pictures\photo\0268223A.jpg</t>
  </si>
  <si>
    <t>C:\Users\BenSelilih_Info\Pictures\photo\0155223A.jpg</t>
  </si>
  <si>
    <t>C:\Users\BenSelilih_Info\Pictures\photo\0156223A.jpg</t>
  </si>
  <si>
    <t>C:\Users\BenSelilih_Info\Pictures\photo\0177223A.jpg</t>
  </si>
  <si>
    <t>C:\Users\BenSelilih_Info\Pictures\photo\0024223A.jpg</t>
  </si>
  <si>
    <t>C:\Users\BenSelilih_Info\Pictures\photo\0200223A.jpg</t>
  </si>
  <si>
    <t>C:\Users\BenSelilih_Info\Pictures\photo\0165223A.jpg</t>
  </si>
  <si>
    <t>C:\Users\BenSelilih_Info\Pictures\photo\0160223A.jpg</t>
  </si>
  <si>
    <t>C:\Users\BenSelilih_Info\Pictures\photo\0015223A.jpg</t>
  </si>
  <si>
    <t>C:\Users\BenSelilih_Info\Pictures\photo\0146223A.jpg</t>
  </si>
  <si>
    <t>C:\Users\BenSelilih_Info\Pictures\photo\0016223A.jpg</t>
  </si>
  <si>
    <t>C:\Users\BenSelilih_Info\Pictures\photo\0194223A.jpg</t>
  </si>
  <si>
    <t>C:\Users\BenSelilih_Info\Pictures\photo\0193223A.jpg</t>
  </si>
  <si>
    <t>C:\Users\BenSelilih_Info\Pictures\photo\0192223A.jpg</t>
  </si>
  <si>
    <t>C:\Users\BenSelilih_Info\Pictures\photo\0190223A.jpg</t>
  </si>
  <si>
    <t>C:\Users\BenSelilih_Info\Pictures\photo\0028223A.jpg</t>
  </si>
  <si>
    <t>C:\Users\BenSelilih_Info\Pictures\photo\0086223A.jpg</t>
  </si>
  <si>
    <t>C:\Users\BenSelilih_Info\Pictures\photo\0083223A.jpg</t>
  </si>
  <si>
    <t>C:\Users\BenSelilih_Info\Pictures\photo\0145223A.jpg</t>
  </si>
  <si>
    <t>C:\Users\BenSelilih_Info\Pictures\photo\0070223A.jpg</t>
  </si>
  <si>
    <t>C:\Users\BenSelilih_Info\Pictures\photo\0196223A.jpg</t>
  </si>
  <si>
    <t>C:\Users\BenSelilih_Info\Pictures\photo\0185223A.jpg</t>
  </si>
  <si>
    <t>C:\Users\BenSelilih_Info\Pictures\photo\0050223A.jpg</t>
  </si>
  <si>
    <t>C:\Users\BenSelilih_Info\Pictures\photo\0030223A.jpg</t>
  </si>
  <si>
    <t>&lt;table&gt;&lt;img src="C:\Users\BenSelilih_Info\Pictures\photo\0116123A.jpg"width="70"hight="70"&gt;</t>
  </si>
  <si>
    <t>&lt;table&gt;&lt;img src=""width="70"hight="70"&gt;</t>
  </si>
  <si>
    <t>&lt;table&gt;&lt;img src="C:\Users\BenSelilih_Info\Pictures\photo\0057123A.jpg"width="70"hight="70"&gt;</t>
  </si>
  <si>
    <t>&lt;table&gt;&lt;img src="C:\Users\BenSelilih_Info\Pictures\photo\0117123A.jpg"width="70"hight="70"&gt;</t>
  </si>
  <si>
    <t>&lt;table&gt;&lt;img src="C:\Users\BenSelilih_Info\Pictures\photo\0074123A.jpg"width="70"hight="70"&gt;</t>
  </si>
  <si>
    <t>&lt;table&gt;&lt;img src="C:\Users\BenSelilih_Info\Pictures\photo\0018123A.jpg"width="70"hight="70"&gt;</t>
  </si>
  <si>
    <t>&lt;table&gt;&lt;img src="C:\Users\BenSelilih_Info\Pictures\photo\0113123A.jpg"width="70"hight="70"&gt;</t>
  </si>
  <si>
    <t>&lt;table&gt;&lt;img src="C:\Users\BenSelilih_Info\Pictures\photo\0094123A.jpg"width="70"hight="70"&gt;</t>
  </si>
  <si>
    <t>&lt;table&gt;&lt;img src="C:\Users\BenSelilih_Info\Pictures\photo\0097123A.jpg"width="70"hight="70"&gt;</t>
  </si>
  <si>
    <t>&lt;table&gt;&lt;img src="C:\Users\BenSelilih_Info\Pictures\photo\0083123A.jpg"width="70"hight="70"&gt;</t>
  </si>
  <si>
    <t>&lt;table&gt;&lt;img src="C:\Users\BenSelilih_Info\Pictures\photo\0006123A.jpg"width="70"hight="70"&gt;</t>
  </si>
  <si>
    <t>&lt;table&gt;&lt;img src="C:\Users\BenSelilih_Info\Pictures\photo\0112123A.jpg"width="70"hight="70"&gt;</t>
  </si>
  <si>
    <t>&lt;table&gt;&lt;img src="C:\Users\BenSelilih_Info\Pictures\photo\0052123A.jpg"width="70"hight="70"&gt;</t>
  </si>
  <si>
    <t>&lt;table&gt;&lt;img src="C:\Users\BenSelilih_Info\Pictures\photo\0073123A.jpg"width="70"hight="70"&gt;</t>
  </si>
  <si>
    <t>&lt;table&gt;&lt;img src="C:\Users\BenSelilih_Info\Pictures\photo\0084123A.jpg"width="70"hight="70"&gt;</t>
  </si>
  <si>
    <t>&lt;table&gt;&lt;img src="C:\Users\BenSelilih_Info\Pictures\photo\0019123A.jpg"width="70"hight="70"&gt;</t>
  </si>
  <si>
    <t>&lt;table&gt;&lt;img src="C:\Users\BenSelilih_Info\Pictures\photo\0114123A.jpg"width="70"hight="70"&gt;</t>
  </si>
  <si>
    <t>&lt;table&gt;&lt;img src="C:\Users\BenSelilih_Info\Pictures\photo\0108123A.jpg"width="70"hight="70"&gt;</t>
  </si>
  <si>
    <t>&lt;table&gt;&lt;img src="C:\Users\BenSelilih_Info\Pictures\photo\0013123A.jpg"width="70"hight="70"&gt;</t>
  </si>
  <si>
    <t>&lt;table&gt;&lt;img src="C:\Users\BenSelilih_Info\Pictures\photo\0109123A.jpg"width="70"hight="70"&gt;</t>
  </si>
  <si>
    <t>&lt;table&gt;&lt;img src="C:\Users\BenSelilih_Info\Pictures\photo\0111123A.jpg"width="70"hight="70"&gt;</t>
  </si>
  <si>
    <t>&lt;table&gt;&lt;img src="C:\Users\BenSelilih_Info\Pictures\photo\0107123A.jpg"width="70"hight="70"&gt;</t>
  </si>
  <si>
    <t>&lt;table&gt;&lt;img src="C:\Users\BenSelilih_Info\Pictures\photo\0110123A.jpg"width="70"hight="70"&gt;</t>
  </si>
  <si>
    <t>&lt;table&gt;&lt;img src="C:\Users\BenSelilih_Info\Pictures\photo\0106123A.jpg"width="70"hight="70"&gt;</t>
  </si>
  <si>
    <t>&lt;table&gt;&lt;img src="C:\Users\BenSelilih_Info\Pictures\photo\0048123A.jpg"width="70"hight="70"&gt;</t>
  </si>
  <si>
    <t>&lt;table&gt;&lt;img src="C:\Users\BenSelilih_Info\Pictures\photo\0103123A.jpg"width="70"hight="70"&gt;</t>
  </si>
  <si>
    <t>&lt;table&gt;&lt;img src="C:\Users\BenSelilih_Info\Pictures\photo\0102123A.jpg"width="70"hight="70"&gt;</t>
  </si>
  <si>
    <t>&lt;table&gt;&lt;img src="C:\Users\BenSelilih_Info\Pictures\photo\0078123A.jpg"width="70"hight="70"&gt;</t>
  </si>
  <si>
    <t>&lt;table&gt;&lt;img src="C:\Users\BenSelilih_Info\Pictures\photo\0091123A.jpg"width="70"hight="70"&gt;</t>
  </si>
  <si>
    <t>&lt;table&gt;&lt;img src="C:\Users\BenSelilih_Info\Pictures\photo\0120123A.jpg"width="70"hight="70"&gt;</t>
  </si>
  <si>
    <t>&lt;table&gt;&lt;img src="C:\Users\BenSelilih_Info\Pictures\photo\0118123A.jpg"width="70"hight="70"&gt;</t>
  </si>
  <si>
    <t>&lt;table&gt;&lt;img src="C:\Users\BenSelilih_Info\Pictures\photo\0098123A.jpg"width="70"hight="70"&gt;</t>
  </si>
  <si>
    <t>&lt;table&gt;&lt;img src="C:\Users\BenSelilih_Info\Pictures\photo\0041223A.jpg"width="70"hight="70"&gt;</t>
  </si>
  <si>
    <t>&lt;table&gt;&lt;img src="C:\Users\BenSelilih_Info\Pictures\photo\0144223A.jpg"width="70"hight="70"&gt;</t>
  </si>
  <si>
    <t>&lt;table&gt;&lt;img src="C:\Users\BenSelilih_Info\Pictures\photo\0075223A.jpg"width="70"hight="70"&gt;</t>
  </si>
  <si>
    <t>&lt;table&gt;&lt;img src="C:\Users\BenSelilih_Info\Pictures\photo\0164223A.jpg"width="70"hight="70"&gt;</t>
  </si>
  <si>
    <t>&lt;table&gt;&lt;img src="C:\Users\BenSelilih_Info\Pictures\photo\0007223A.jpg"width="70"hight="70"&gt;</t>
  </si>
  <si>
    <t>&lt;table&gt;&lt;img src="C:\Users\BenSelilih_Info\Pictures\photo\0112223A.jpg"width="70"hight="70"&gt;</t>
  </si>
  <si>
    <t>&lt;table&gt;&lt;img src="C:\Users\BenSelilih_Info\Pictures\photo\0005223A.jpg"width="70"hight="70"&gt;</t>
  </si>
  <si>
    <t>&lt;table&gt;&lt;img src="C:\Users\BenSelilih_Info\Pictures\photo\0172223A.jpg"width="70"hight="70"&gt;</t>
  </si>
  <si>
    <t>&lt;table&gt;&lt;img src="C:\Users\BenSelilih_Info\Pictures\photo\0162223A.jpg"width="70"hight="70"&gt;</t>
  </si>
  <si>
    <t>&lt;table&gt;&lt;img src="C:\Users\BenSelilih_Info\Pictures\photo\0197223A.jpg"width="70"hight="70"&gt;</t>
  </si>
  <si>
    <t>&lt;table&gt;&lt;img src="C:\Users\BenSelilih_Info\Pictures\photo\0143223A.jpg"width="70"hight="70"&gt;</t>
  </si>
  <si>
    <t>&lt;table&gt;&lt;img src="C:\Users\BenSelilih_Info\Pictures\photo\0052223A.jpg"width="70"hight="70"&gt;</t>
  </si>
  <si>
    <t>&lt;table&gt;&lt;img src="C:\Users\BenSelilih_Info\Pictures\photo\0132223A.jpg"width="70"hight="70"&gt;</t>
  </si>
  <si>
    <t>&lt;table&gt;&lt;img src="C:\Users\BenSelilih_Info\Pictures\photo\0191223A.jpg"width="70"hight="70"&gt;</t>
  </si>
  <si>
    <t>&lt;table&gt;&lt;img src="C:\Users\BenSelilih_Info\Pictures\photo\0141223A.jpg"width="70"hight="70"&gt;</t>
  </si>
  <si>
    <t>&lt;table&gt;&lt;img src="C:\Users\BenSelilih_Info\Pictures\photo\0119223A.jpg"width="70"hight="70"&gt;</t>
  </si>
  <si>
    <t>&lt;table&gt;&lt;img src="C:\Users\BenSelilih_Info\Pictures\photo\0084223A.jpg"width="70"hight="70"&gt;</t>
  </si>
  <si>
    <t>&lt;table&gt;&lt;img src="C:\Users\BenSelilih_Info\Pictures\photo\0023223A.jpg"width="70"hight="70"&gt;</t>
  </si>
  <si>
    <t>&lt;table&gt;&lt;img src="C:\Users\BenSelilih_Info\Pictures\photo\0140223A.jpg"width="70"hight="70"&gt;</t>
  </si>
  <si>
    <t>&lt;table&gt;&lt;img src="C:\Users\BenSelilih_Info\Pictures\photo\0087223A.jpg"width="70"hight="70"&gt;</t>
  </si>
  <si>
    <t>&lt;table&gt;&lt;img src="C:\Users\BenSelilih_Info\Pictures\photo\0153223A.jpg"width="70"hight="70"&gt;</t>
  </si>
  <si>
    <t>&lt;table&gt;&lt;img src="C:\Users\BenSelilih_Info\Pictures\photo\0047223A.jpg"width="70"hight="70"&gt;</t>
  </si>
  <si>
    <t>&lt;table&gt;&lt;img src="C:\Users\BenSelilih_Info\Pictures\photo\0188223A.jpg"width="70"hight="70"&gt;</t>
  </si>
  <si>
    <t>&lt;table&gt;&lt;img src="C:\Users\BenSelilih_Info\Pictures\photo\0085223A.jpg"width="70"hight="70"&gt;</t>
  </si>
  <si>
    <t>&lt;table&gt;&lt;img src="C:\Users\BenSelilih_Info\Pictures\photo\0053223A.jpg"width="70"hight="70"&gt;</t>
  </si>
  <si>
    <t>&lt;table&gt;&lt;img src="C:\Users\BenSelilih_Info\Pictures\photo\0136223A.jpg"width="70"hight="70"&gt;</t>
  </si>
  <si>
    <t>&lt;table&gt;&lt;img src="C:\Users\BenSelilih_Info\Pictures\photo\0139223A.jpg"width="70"hight="70"&gt;</t>
  </si>
  <si>
    <t>&lt;table&gt;&lt;img src="C:\Users\BenSelilih_Info\Pictures\photo\0199223A.jpg"width="70"hight="70"&gt;</t>
  </si>
  <si>
    <t>&lt;table&gt;&lt;img src="C:\Users\BenSelilih_Info\Pictures\photo\0138223A.jpg"width="70"hight="70"&gt;</t>
  </si>
  <si>
    <t>&lt;table&gt;&lt;img src="C:\Users\BenSelilih_Info\Pictures\photo\0054223A.jpg"width="70"hight="70"&gt;</t>
  </si>
  <si>
    <t>&lt;table&gt;&lt;img src="C:\Users\BenSelilih_Info\Pictures\photo\0267223A.jpg"width="70"hight="70"&gt;</t>
  </si>
  <si>
    <t>&lt;table&gt;&lt;img src="C:\Users\BenSelilih_Info\Pictures\photo\0049223A.jpg"width="70"hight="70"&gt;</t>
  </si>
  <si>
    <t>&lt;table&gt;&lt;img src="C:\Users\BenSelilih_Info\Pictures\photo\0115223A.jpg"width="70"hight="70"&gt;</t>
  </si>
  <si>
    <t>&lt;table&gt;&lt;img src="C:\Users\BenSelilih_Info\Pictures\photo\0056223A.jpg"width="70"hight="70"&gt;</t>
  </si>
  <si>
    <t>&lt;table&gt;&lt;img src="C:\Users\BenSelilih_Info\Pictures\photo\0117223A.jpg"width="70"hight="70"&gt;</t>
  </si>
  <si>
    <t>&lt;table&gt;&lt;img src="C:\Users\BenSelilih_Info\Pictures\photo\0170223A.jpg"width="70"hight="70"&gt;</t>
  </si>
  <si>
    <t>&lt;table&gt;&lt;img src="C:\Users\BenSelilih_Info\Pictures\photo\0133223A.jpg"width="70"hight="70"&gt;</t>
  </si>
  <si>
    <t>&lt;table&gt;&lt;img src="C:\Users\BenSelilih_Info\Pictures\photo\0048223A.jpg"width="70"hight="70"&gt;</t>
  </si>
  <si>
    <t>&lt;table&gt;&lt;img src="C:\Users\BenSelilih_Info\Pictures\photo\0206223A.jpg"width="70"hight="70"&gt;</t>
  </si>
  <si>
    <t>&lt;table&gt;&lt;img src="C:\Users\BenSelilih_Info\Pictures\photo\0018223A.jpg"width="70"hight="70"&gt;</t>
  </si>
  <si>
    <t>&lt;table&gt;&lt;img src="C:\Users\BenSelilih_Info\Pictures\photo\0211223A.jpg"width="70"hight="70"&gt;</t>
  </si>
  <si>
    <t>&lt;table&gt;&lt;img src="C:\Users\BenSelilih_Info\Pictures\photo\0025223A.jpg"width="70"hight="70"&gt;</t>
  </si>
  <si>
    <t>&lt;table&gt;&lt;img src="C:\Users\BenSelilih_Info\Pictures\photo\0055223A.jpg"width="70"hight="70"&gt;</t>
  </si>
  <si>
    <t>&lt;table&gt;&lt;img src="C:\Users\BenSelilih_Info\Pictures\photo\0187223A.jpg"width="70"hight="70"&gt;</t>
  </si>
  <si>
    <t>&lt;table&gt;&lt;img src="C:\Users\BenSelilih_Info\Pictures\photo\0026223A.jpg"width="70"hight="70"&gt;</t>
  </si>
  <si>
    <t>&lt;table&gt;&lt;img src="C:\Users\BenSelilih_Info\Pictures\photo\0171223A.jpg"width="70"hight="70"&gt;</t>
  </si>
  <si>
    <t>&lt;table&gt;&lt;img src="C:\Users\BenSelilih_Info\Pictures\photo\0268223A.jpg"width="70"hight="70"&gt;</t>
  </si>
  <si>
    <t>&lt;table&gt;&lt;img src="C:\Users\BenSelilih_Info\Pictures\photo\0155223A.jpg"width="70"hight="70"&gt;</t>
  </si>
  <si>
    <t>&lt;table&gt;&lt;img src="C:\Users\BenSelilih_Info\Pictures\photo\0156223A.jpg"width="70"hight="70"&gt;</t>
  </si>
  <si>
    <t>&lt;table&gt;&lt;img src="C:\Users\BenSelilih_Info\Pictures\photo\0177223A.jpg"width="70"hight="70"&gt;</t>
  </si>
  <si>
    <t>&lt;table&gt;&lt;img src="C:\Users\BenSelilih_Info\Pictures\photo\0024223A.jpg"width="70"hight="70"&gt;</t>
  </si>
  <si>
    <t>&lt;table&gt;&lt;img src="C:\Users\BenSelilih_Info\Pictures\photo\0200223A.jpg"width="70"hight="70"&gt;</t>
  </si>
  <si>
    <t>&lt;table&gt;&lt;img src="C:\Users\BenSelilih_Info\Pictures\photo\0165223A.jpg"width="70"hight="70"&gt;</t>
  </si>
  <si>
    <t>&lt;table&gt;&lt;img src="C:\Users\BenSelilih_Info\Pictures\photo\0160223A.jpg"width="70"hight="70"&gt;</t>
  </si>
  <si>
    <t>&lt;table&gt;&lt;img src="C:\Users\BenSelilih_Info\Pictures\photo\0015223A.jpg"width="70"hight="70"&gt;</t>
  </si>
  <si>
    <t>&lt;table&gt;&lt;img src="C:\Users\BenSelilih_Info\Pictures\photo\0146223A.jpg"width="70"hight="70"&gt;</t>
  </si>
  <si>
    <t>&lt;table&gt;&lt;img src="C:\Users\BenSelilih_Info\Pictures\photo\0016223A.jpg"width="70"hight="70"&gt;</t>
  </si>
  <si>
    <t>&lt;table&gt;&lt;img src="C:\Users\BenSelilih_Info\Pictures\photo\0194223A.jpg"width="70"hight="70"&gt;</t>
  </si>
  <si>
    <t>&lt;table&gt;&lt;img src="C:\Users\BenSelilih_Info\Pictures\photo\0193223A.jpg"width="70"hight="70"&gt;</t>
  </si>
  <si>
    <t>&lt;table&gt;&lt;img src="C:\Users\BenSelilih_Info\Pictures\photo\0192223A.jpg"width="70"hight="70"&gt;</t>
  </si>
  <si>
    <t>&lt;table&gt;&lt;img src="C:\Users\BenSelilih_Info\Pictures\photo\0190223A.jpg"width="70"hight="70"&gt;</t>
  </si>
  <si>
    <t>&lt;table&gt;&lt;img src="C:\Users\BenSelilih_Info\Pictures\photo\0028223A.jpg"width="70"hight="70"&gt;</t>
  </si>
  <si>
    <t>&lt;table&gt;&lt;img src="C:\Users\BenSelilih_Info\Pictures\photo\0086223A.jpg"width="70"hight="70"&gt;</t>
  </si>
  <si>
    <t>&lt;table&gt;&lt;img src="C:\Users\BenSelilih_Info\Pictures\photo\0083223A.jpg"width="70"hight="70"&gt;</t>
  </si>
  <si>
    <t>&lt;table&gt;&lt;img src="C:\Users\BenSelilih_Info\Pictures\photo\0145223A.jpg"width="70"hight="70"&gt;</t>
  </si>
  <si>
    <t>&lt;table&gt;&lt;img src="C:\Users\BenSelilih_Info\Pictures\photo\0070223A.jpg"width="70"hight="70"&gt;</t>
  </si>
  <si>
    <t>&lt;table&gt;&lt;img src="C:\Users\BenSelilih_Info\Pictures\photo\0196223A.jpg"width="70"hight="70"&gt;</t>
  </si>
  <si>
    <t>&lt;table&gt;&lt;img src="C:\Users\BenSelilih_Info\Pictures\photo\0185223A.jpg"width="70"hight="70"&gt;</t>
  </si>
  <si>
    <t>&lt;table&gt;&lt;img src="C:\Users\BenSelilih_Info\Pictures\photo\0050223A.jpg"width="70"hight="70"&gt;</t>
  </si>
  <si>
    <t>&lt;table&gt;&lt;img src="C:\Users\BenSelilih_Info\Pictures\photo\0030223A.jpg"width="70"hight="70"&gt;</t>
  </si>
  <si>
    <t>مدة التكوين من :</t>
  </si>
  <si>
    <t>الاسم</t>
  </si>
  <si>
    <t>C:\Users\BenSelilih_Info\Pictures\photo\0081223A.jpg</t>
  </si>
  <si>
    <t>&lt;table&gt;&lt;img src="C:\Users\BenSelilih_Info\Pictures\photo\0044223A.jpg"width="70"hight="70"&gt;</t>
  </si>
  <si>
    <t>&lt;table&gt;&lt;img src="C:\Users\BenSelilih_Info\Pictures\photo\0169223A.jpg"width="70"hight="70"&gt;</t>
  </si>
  <si>
    <t>&lt;table&gt;&lt;img src="C:\Users\BenSelilih_Info\Pictures\photo\0118223A.jpg"width="70"hight="70"&gt;</t>
  </si>
  <si>
    <t>&lt;table&gt;&lt;img src="C:\Users\BenSelilih_Info\Pictures\photo\0182223A.jpg"width="70"hight="70"&gt;</t>
  </si>
  <si>
    <t>&lt;table&gt;&lt;img src="C:\Users\BenSelilih_Info\Pictures\photo\0178223A.jpg"width="70"hight="70"&gt;</t>
  </si>
  <si>
    <t>&lt;table&gt;&lt;img src="C:\Users\BenSelilih_Info\Pictures\photo\0204223A.jpg"width="70"hight="70"&gt;</t>
  </si>
  <si>
    <t>&lt;table&gt;&lt;img src="C:\Users\BenSelilih_Info\Pictures\photo\0157223A.jpg"width="70"hight="70"&gt;</t>
  </si>
  <si>
    <t>&lt;table&gt;&lt;img src="C:\Users\BenSelilih_Info\Pictures\photo\0202223A.jpg"width="70"hight="70"&gt;</t>
  </si>
  <si>
    <t>&lt;table&gt;&lt;img src="C:\Users\BenSelilih_Info\Pictures\photo\0161223A.jpg"width="70"hight="70"&gt;</t>
  </si>
  <si>
    <t>&lt;table&gt;&lt;img src="C:\Users\BenSelilih_Info\Pictures\photo\0215223A.jpg"width="70"hight="70"&gt;</t>
  </si>
  <si>
    <t>&lt;table&gt;&lt;img src="C:\Users\BenSelilih_Info\Pictures\photo\0159223A.jpg"width="70"hight="70"&gt;</t>
  </si>
  <si>
    <t>&lt;table&gt;&lt;img src="C:\Users\BenSelilih_Info\Pictures\photo\0149223A.jpg"width="70"hight="70"&gt;</t>
  </si>
  <si>
    <t>&lt;table&gt;&lt;img src="C:\Users\BenSelilih_Info\Pictures\photo\0124223A.jpg"width="70"hight="70"&gt;</t>
  </si>
  <si>
    <t>&lt;table&gt;&lt;img src="C:\Users\BenSelilih_Info\Pictures\photo\0183223A.jpg"width="70"hight="70"&gt;</t>
  </si>
  <si>
    <t>&lt;table&gt;&lt;img src="C:\Users\BenSelilih_Info\Pictures\photo\0045223A.jpg"width="70"hight="70"&gt;</t>
  </si>
  <si>
    <t>&lt;table&gt;&lt;img src="C:\Users\BenSelilih_Info\Pictures\photo\0147223A.jpg"width="70"hight="70"&gt;</t>
  </si>
  <si>
    <t>&lt;table&gt;&lt;img src="C:\Users\BenSelilih_Info\Pictures\photo\0166223A.jpg"width="70"hight="70"&gt;</t>
  </si>
  <si>
    <t>&lt;table&gt;&lt;img src="C:\Users\BenSelilih_Info\Pictures\photo\0074223A.jpg"width="70"hight="70"&gt;</t>
  </si>
  <si>
    <t>&lt;table&gt;&lt;img src="C:\Users\BenSelilih_Info\Pictures\photo\0184223A.jpg"width="70"hight="70"&gt;</t>
  </si>
  <si>
    <t>&lt;table&gt;&lt;img src="C:\Users\BenSelilih_Info\Pictures\photo\0009223A.jpg"width="70"hight="70"&gt;</t>
  </si>
  <si>
    <t>&lt;table&gt;&lt;img src="C:\Users\BenSelilih_Info\Pictures\photo\0198223A.jpg"width="70"hight="70"&gt;</t>
  </si>
  <si>
    <t>&lt;table&gt;&lt;img src="C:\Users\BenSelilih_Info\Pictures\photo\0181223A.jpg"width="70"hight="70"&gt;</t>
  </si>
  <si>
    <t>&lt;table&gt;&lt;img src="C:\Users\BenSelilih_Info\Pictures\photo\0208223A.jpg"width="70"hight="70"&gt;</t>
  </si>
  <si>
    <t>&lt;table&gt;&lt;img src="C:\Users\BenSelilih_Info\Pictures\photo\0017223A.jpg"width="70"hight="70"&gt;</t>
  </si>
  <si>
    <t>&lt;table&gt;&lt;img src="C:\Users\BenSelilih_Info\Pictures\photo\0014223A.jpg"width="70"hight="70"&gt;</t>
  </si>
  <si>
    <t>&lt;table&gt;&lt;img src="C:\Users\BenSelilih_Info\Pictures\photo\0013223A.jpg"width="70"hight="70"&gt;</t>
  </si>
  <si>
    <t>&lt;table&gt;&lt;img src="C:\Users\BenSelilih_Info\Pictures\photo\0163223A.jpg"width="70"hight="70"&gt;</t>
  </si>
  <si>
    <t>&lt;table&gt;&lt;img src="C:\Users\BenSelilih_Info\Pictures\photo\0071223A.jpg"width="70"hight="70"&gt;</t>
  </si>
  <si>
    <t>&lt;table&gt;&lt;img src="C:\Users\BenSelilih_Info\Pictures\photo\0152223A.jpg"width="70"hight="70"&gt;</t>
  </si>
  <si>
    <t>&lt;table&gt;&lt;img src="C:\Users\BenSelilih_Info\Pictures\photo\0201223A.jpg"width="70"hight="70"&gt;</t>
  </si>
  <si>
    <t>&lt;table&gt;&lt;img src="C:\Users\BenSelilih_Info\Pictures\photo\0113223A.jpg"width="70"hight="70"&gt;</t>
  </si>
  <si>
    <t>&lt;table&gt;&lt;img src="C:\Users\BenSelilih_Info\Pictures\photo\0114223A.jpg"width="70"hight="70"&gt;</t>
  </si>
  <si>
    <t>&lt;table&gt;&lt;img src="C:\Users\BenSelilih_Info\Pictures\photo\0134223A.jpg"width="70"hight="70"&gt;</t>
  </si>
  <si>
    <t>&lt;table&gt;&lt;img src="C:\Users\BenSelilih_Info\Pictures\photo\0179223A.jpg"width="70"hight="70"&gt;</t>
  </si>
  <si>
    <t>&lt;table&gt;&lt;img src="C:\Users\BenSelilih_Info\Pictures\photo\0029223A.jpg"width="70"hight="70"&gt;</t>
  </si>
  <si>
    <t>&lt;table&gt;&lt;img src="C:\Users\BenSelilih_Info\Pictures\photo\0051223A.jpg"width="70"hight="70"&gt;</t>
  </si>
  <si>
    <t>&lt;table&gt;&lt;img src="C:\Users\BenSelilih_Info\Pictures\photo\0180223A.jpg"width="70"hight="70"&gt;</t>
  </si>
  <si>
    <t>&lt;table&gt;&lt;img src="C:\Users\BenSelilih_Info\Pictures\photo\0072223A.jpg"width="70"hight="70"&gt;</t>
  </si>
  <si>
    <t>&lt;table&gt;&lt;img src="C:\Users\BenSelilih_Info\Pictures\photo\0195223A.jpg"width="70"hight="70"&gt;</t>
  </si>
  <si>
    <t>&lt;table&gt;&lt;img src="C:\Users\BenSelilih_Info\Pictures\photo\0142223A.jpg"width="70"hight="70"&gt;</t>
  </si>
  <si>
    <t>&lt;table&gt;&lt;img src="C:\Users\BenSelilih_Info\Pictures\photo\0120223A.jpg"width="70"hight="70"&gt;</t>
  </si>
  <si>
    <t>&lt;table&gt;&lt;img src="C:\Users\BenSelilih_Info\Pictures\photo\0073223A.jpg"width="70"hight="70"&gt;</t>
  </si>
  <si>
    <t>&lt;table&gt;&lt;img src="C:\Users\BenSelilih_Info\Pictures\photo\0210223A.jpg"width="70"hight="70"&gt;</t>
  </si>
  <si>
    <t>&lt;table&gt;&lt;img src="C:\Users\BenSelilih_Info\Pictures\photo\0135223A.jpg"width="70"hight="70"&gt;</t>
  </si>
  <si>
    <t>&lt;table&gt;&lt;img src="C:\Users\BenSelilih_Info\Pictures\photo\0040223A.jpg"width="70"hight="70"&gt;</t>
  </si>
  <si>
    <t>&lt;table&gt;&lt;img src="C:\Users\BenSelilih_Info\Pictures\photo\0042223A.jpg"width="70"hight="70"&gt;</t>
  </si>
  <si>
    <t>&lt;table&gt;&lt;img src="C:\Users\BenSelilih_Info\Pictures\photo\0158223A.jpg"width="70"hight="70"&gt;</t>
  </si>
  <si>
    <t>&lt;table&gt;&lt;img src="C:\Users\BenSelilih_Info\Pictures\photo\0148223A.jpg"width="70"hight="70"&gt;</t>
  </si>
  <si>
    <t>&lt;table&gt;&lt;img src="C:\Users\BenSelilih_Info\Pictures\photo\0082223A.jpg"width="70"hight="70"&gt;</t>
  </si>
  <si>
    <t>&lt;table&gt;&lt;img src="C:\Users\BenSelilih_Info\Pictures\photo\0186223A.jpg"width="70"hight="70"&gt;</t>
  </si>
  <si>
    <t>&lt;table&gt;&lt;img src="C:\Users\BenSelilih_Info\Pictures\photo\0057223A.jpg"width="70"hight="70"&gt;</t>
  </si>
  <si>
    <t>&lt;table&gt;&lt;img src="C:\Users\BenSelilih_Info\Pictures\photo\0046223A.jpg"width="70"hight="70"&gt;</t>
  </si>
  <si>
    <t>&lt;table&gt;&lt;img src="C:\Users\BenSelilih_Info\Pictures\photo\0043223A.jpg"width="70"hight="70"&gt;</t>
  </si>
  <si>
    <t>&lt;table&gt;&lt;img src="C:\Users\BenSelilih_Info\Pictures\photo\0205223A.jpg"width="70"hight="70"&gt;</t>
  </si>
  <si>
    <t>&lt;table&gt;&lt;img src="C:\Users\BenSelilih_Info\Pictures\photo\0060124A.jpg"width="70"hight="70"&gt;</t>
  </si>
  <si>
    <t>&lt;table&gt;&lt;img src="C:\Users\BenSelilih_Info\Pictures\photo\0039124A.jpg"width="70"hight="70"&gt;</t>
  </si>
  <si>
    <t>&lt;table&gt;&lt;img src="C:\Users\BenSelilih_Info\Pictures\photo\0102124A.jpg"width="70"hight="70"&gt;</t>
  </si>
  <si>
    <t>&lt;table&gt;&lt;img src="C:\Users\BenSelilih_Info\Pictures\photo\0086124A.jpg"width="70"hight="70"&gt;</t>
  </si>
  <si>
    <t>&lt;table&gt;&lt;img src="C:\Users\BenSelilih_Info\Pictures\photo\0092124A.jpg"width="70"hight="70"&gt;</t>
  </si>
  <si>
    <t>&lt;table&gt;&lt;img src="C:\Users\BenSelilih_Info\Pictures\photo\0126124A.jpg"width="70"hight="70"&gt;</t>
  </si>
  <si>
    <t>&lt;table&gt;&lt;img src="C:\Users\BenSelilih_Info\Pictures\photo\0074124A.jpg"width="70"hight="70"&gt;</t>
  </si>
  <si>
    <t>&lt;table&gt;&lt;img src="C:\Users\BenSelilih_Info\Pictures\photo\0072124A.jpg"width="70"hight="70"&gt;</t>
  </si>
  <si>
    <t>&lt;table&gt;&lt;img src="C:\Users\BenSelilih_Info\Pictures\photo\0037124A.jpg"width="70"hight="70"&gt;</t>
  </si>
  <si>
    <t>&lt;table&gt;&lt;img src="C:\Users\BenSelilih_Info\Pictures\photo\0033124A.jpg"width="70"hight="70"&gt;</t>
  </si>
  <si>
    <t>&lt;table&gt;&lt;img src="C:\Users\BenSelilih_Info\Pictures\photo\0091124A.jpg"width="70"hight="70"&gt;</t>
  </si>
  <si>
    <t>&lt;table&gt;&lt;img src="C:\Users\BenSelilih_Info\Pictures\photo\0133124A.jpg"width="70"hight="70"&gt;</t>
  </si>
  <si>
    <t>&lt;table&gt;&lt;img src="C:\Users\BenSelilih_Info\Pictures\photo\0090124A.jpg"width="70"hight="70"&gt;</t>
  </si>
  <si>
    <t>&lt;table&gt;&lt;img src="C:\Users\BenSelilih_Info\Pictures\photo\0097124A.jpg"width="70"hight="70"&gt;</t>
  </si>
  <si>
    <t>&lt;table&gt;&lt;img src="C:\Users\BenSelilih_Info\Pictures\photo\0054124A.jpg"width="70"hight="70"&gt;</t>
  </si>
  <si>
    <t>&lt;table&gt;&lt;img src="C:\Users\BenSelilih_Info\Pictures\photo\0023124A.jpg"width="70"hight="70"&gt;</t>
  </si>
  <si>
    <t>&lt;table&gt;&lt;img src="C:\Users\BenSelilih_Info\Pictures\photo\0061124A.jpg"width="70"hight="70"&gt;</t>
  </si>
  <si>
    <t>&lt;table&gt;&lt;img src="C:\Users\BenSelilih_Info\Pictures\photo\0024124A.jpg"width="70"hight="70"&gt;</t>
  </si>
  <si>
    <t>&lt;table&gt;&lt;img src="C:\Users\BenSelilih_Info\Pictures\photo\0027124A.jpg"width="70"hight="70"&gt;</t>
  </si>
  <si>
    <t>&lt;table&gt;&lt;img src="C:\Users\BenSelilih_Info\Pictures\photo\0029124A.jpg"width="70"hight="70"&gt;</t>
  </si>
  <si>
    <t>&lt;table&gt;&lt;img src="C:\Users\BenSelilih_Info\Pictures\photo\0028124A.jpg"width="70"hight="70"&gt;</t>
  </si>
  <si>
    <t>&lt;table&gt;&lt;img src="C:\Users\BenSelilih_Info\Pictures\photo\0026124A.jpg"width="70"hight="70"&gt;</t>
  </si>
  <si>
    <t>&lt;table&gt;&lt;img src="C:\Users\BenSelilih_Info\Pictures\photo\0018124A.jpg"width="70"hight="70"&gt;</t>
  </si>
  <si>
    <t>&lt;table&gt;&lt;img src="C:\Users\BenSelilih_Info\Pictures\photo\0130124A.jpg"width="70"hight="70"&gt;</t>
  </si>
  <si>
    <t>&lt;table&gt;&lt;img src="C:\Users\BenSelilih_Info\Pictures\photo\0129124A.jpg"width="70"hight="70"&gt;</t>
  </si>
  <si>
    <t>&lt;table&gt;&lt;img src="C:\Users\BenSelilih_Info\Pictures\photo\0030124A.jpg"width="70"hight="70"&gt;</t>
  </si>
  <si>
    <t>&lt;table&gt;&lt;img src="C:\Users\BenSelilih_Info\Pictures\photo\0132124A.jpg"width="70"hight="70"&gt;</t>
  </si>
  <si>
    <t>&lt;table&gt;&lt;img src="C:\Users\BenSelilih_Info\Pictures\photo\0038124A.jpg"width="70"hight="70"&gt;</t>
  </si>
  <si>
    <t>&lt;table&gt;&lt;img src="C:\Users\BenSelilih_Info\Pictures\photo\0080124A.jpg"width="70"hight="70"&gt;</t>
  </si>
  <si>
    <t>&lt;table&gt;&lt;img src="C:\Users\BenSelilih_Info\Pictures\photo\0095124A.jpg"width="70"hight="70"&gt;</t>
  </si>
  <si>
    <t>&lt;table&gt;&lt;img src="C:\Users\BenSelilih_Info\Pictures\photo\0096124A.jpg"width="70"hight="70"&gt;</t>
  </si>
  <si>
    <t>&lt;table&gt;&lt;img src="C:\Users\BenSelilih_Info\Pictures\photo\0094124A.jpg"width="70"hight="70"&gt;</t>
  </si>
  <si>
    <t>&lt;table&gt;&lt;img src="C:\Users\BenSelilih_Info\Pictures\photo\0078124A.jpg"width="70"hight="70"&gt;</t>
  </si>
  <si>
    <t>&lt;table&gt;&lt;img src="C:\Users\BenSelilih_Info\Pictures\photo\0063124A.jpg"width="70"hight="70"&gt;</t>
  </si>
  <si>
    <t>&lt;table&gt;&lt;img src="C:\Users\BenSelilih_Info\Pictures\photo\0131124A.jpg"width="70"hight="70"&gt;</t>
  </si>
  <si>
    <t>&lt;table&gt;&lt;img src="C:\Users\BenSelilih_Info\Pictures\photo\0087124A.jpg"width="70"hight="70"&gt;</t>
  </si>
  <si>
    <t>&lt;table&gt;&lt;img src="C:\Users\BenSelilih_Info\Pictures\photo\0064124A.jpg"width="70"hight="70"&gt;</t>
  </si>
  <si>
    <t>&lt;table&gt;&lt;img src="C:\Users\BenSelilih_Info\Pictures\photo\0085124A.jpg"width="70"hight="70"&gt;</t>
  </si>
  <si>
    <t>&lt;table&gt;&lt;img src="C:\Users\BenSelilih_Info\Pictures\photo\0062124A.jpg"width="70"hight="70"&gt;</t>
  </si>
  <si>
    <t>&lt;table&gt;&lt;img src="C:\Users\BenSelilih_Info\Pictures\photo\0056124A.jpg"width="70"hight="70"&gt;</t>
  </si>
  <si>
    <t>&lt;table&gt;&lt;img src="C:\Users\BenSelilih_Info\Pictures\photo\0073124A.jpg"width="70"hight="70"&gt;</t>
  </si>
  <si>
    <t>&lt;table&gt;&lt;img src="C:\Users\BenSelilih_Info\Pictures\photo\0011124A.jpg"width="70"hight="70"&gt;</t>
  </si>
  <si>
    <t>&lt;table&gt;&lt;img src="C:\Users\BenSelilih_Info\Pictures\photo\0013124A.jpg"width="70"hight="70"&gt;</t>
  </si>
  <si>
    <t>&lt;table&gt;&lt;img src="C:\Users\BenSelilih_Info\Pictures\photo\0081124A.jpg"width="70"hight="70"&gt;</t>
  </si>
  <si>
    <t>&lt;table&gt;&lt;img src="C:\Users\BenSelilih_Info\Pictures\photo\0053124A.jpg"width="70"hight="70"&gt;</t>
  </si>
  <si>
    <t>&lt;table&gt;&lt;img src="C:\Users\BenSelilih_Info\Pictures\photo\0049124A.jpg"width="70"hight="70"&gt;</t>
  </si>
  <si>
    <t>&lt;table&gt;&lt;img src="C:\Users\BenSelilih_Info\Pictures\photo\0044124A.jpg"width="70"hight="70"&gt;</t>
  </si>
  <si>
    <t>&lt;table&gt;&lt;img src="C:\Users\BenSelilih_Info\Pictures\photo\0070124A.jpg"width="70"hight="70"&gt;</t>
  </si>
  <si>
    <t>&lt;table&gt;&lt;img src="C:\Users\BenSelilih_Info\Pictures\photo\0068124A.jpg"width="70"hight="70"&gt;</t>
  </si>
  <si>
    <t>&lt;table&gt;&lt;img src="C:\Users\BenSelilih_Info\Pictures\photo\0069124A.jpg"width="70"hight="70"&gt;</t>
  </si>
  <si>
    <t>&lt;table&gt;&lt;img src="C:\Users\BenSelilih_Info\Pictures\photo\0084124A.jpg"width="70"hight="70"&gt;</t>
  </si>
  <si>
    <t>&lt;table&gt;&lt;img src="C:\Users\BenSelilih_Info\Pictures\photo\0066124A.jpg"width="70"hight="70"&gt;</t>
  </si>
  <si>
    <t>&lt;table&gt;&lt;img src="C:\Users\BenSelilih_Info\Pictures\photo\0076124A.jpg"width="70"hight="70"&gt;</t>
  </si>
  <si>
    <t>&lt;table&gt;&lt;img src="C:\Users\BenSelilih_Info\Pictures\photo\0089124A.jpg"width="70"hight="70"&gt;</t>
  </si>
  <si>
    <t>&lt;table&gt;&lt;img src="C:\Users\BenSelilih_Info\Pictures\photo\0122124A.jpg"width="70"hight="70"&gt;</t>
  </si>
  <si>
    <t>&lt;table&gt;&lt;img src="C:\Users\BenSelilih_Info\Pictures\photo\0123124A.jpg"width="70"hight="70"&gt;</t>
  </si>
  <si>
    <t>&lt;table&gt;&lt;img src="C:\Users\BenSelilih_Info\Pictures\photo\0075124A.jpg"width="70"hight="70"&gt;</t>
  </si>
  <si>
    <t>&lt;table&gt;&lt;img src="C:\Users\BenSelilih_Info\Pictures\photo\0019124A.jpg"width="70"hight="70"&gt;</t>
  </si>
  <si>
    <t>&lt;table&gt;&lt;img src="C:\Users\BenSelilih_Info\Pictures\photo\0040124A.jpg"width="70"hight="70"&gt;</t>
  </si>
  <si>
    <t>&lt;table&gt;&lt;img src="C:\Users\BenSelilih_Info\Pictures\photo\0022124A.jpg"width="70"hight="70"&gt;</t>
  </si>
  <si>
    <t>&lt;table&gt;&lt;img src="C:\Users\BenSelilih_Info\Pictures\photo\0009124A.jpg"width="70"hight="70"&gt;</t>
  </si>
  <si>
    <t>&lt;table&gt;&lt;img src="C:\Users\BenSelilih_Info\Pictures\photo\0010124A.jpg"width="70"hight="70"&gt;</t>
  </si>
  <si>
    <t>&lt;table&gt;&lt;img src="C:\Users\BenSelilih_Info\Pictures\photo\0099124A.jpg"width="70"hight="70"&gt;</t>
  </si>
  <si>
    <t>&lt;table&gt;&lt;img src="C:\Users\BenSelilih_Info\Pictures\photo\0020124A.jpg"width="70"hight="70"&gt;</t>
  </si>
  <si>
    <t>&lt;table&gt;&lt;img src="C:\Users\BenSelilih_Info\Pictures\photo\0124124A.jpg"width="70"hight="70"&gt;</t>
  </si>
  <si>
    <t>&lt;table&gt;&lt;img src="C:\Users\BenSelilih_Info\Pictures\photo\0005124A.jpg"width="70"hight="70"&gt;</t>
  </si>
  <si>
    <t>&lt;table&gt;&lt;img src="C:\Users\BenSelilih_Info\Pictures\photo\0036124A.jpg"width="70"hight="70"&gt;</t>
  </si>
  <si>
    <t>&lt;table&gt;&lt;img src="C:\Users\BenSelilih_Info\Pictures\photo\0098124A.jpg"width="70"hight="70"&gt;</t>
  </si>
  <si>
    <t>&lt;table&gt;&lt;img src="C:\Users\BenSelilih_Info\Pictures\photo\0008124A.jpg"width="70"hight="70"&gt;</t>
  </si>
  <si>
    <t>&lt;table&gt;&lt;img src="C:\Users\BenSelilih_Info\Pictures\photo\0051124A.jpg"width="70"hight="70"&gt;</t>
  </si>
  <si>
    <t>&lt;table&gt;&lt;img src="C:\Users\BenSelilih_Info\Pictures\photo\0035124A.jpg"width="70"hight="70"&gt;</t>
  </si>
  <si>
    <t>&lt;table&gt;&lt;img src="C:\Users\BenSelilih_Info\Pictures\photo\0067124A.jpg"width="70"hight="70"&gt;</t>
  </si>
  <si>
    <t>&lt;table&gt;&lt;img src="C:\Users\BenSelilih_Info\Pictures\photo\0050124A.jpg"width="70"hight="70"&gt;</t>
  </si>
  <si>
    <t>&lt;table&gt;&lt;img src="C:\Users\BenSelilih_Info\Pictures\photo\0021124A.jpg"width="70"hight="70"&gt;</t>
  </si>
  <si>
    <t>&lt;table&gt;&lt;img src="C:\Users\BenSelilih_Info\Pictures\photo\0042124A.jpg"width="70"hight="70"&gt;</t>
  </si>
  <si>
    <t>&lt;table&gt;&lt;img src="C:\Users\BenSelilih_Info\Pictures\photo\0079124A.jpg"width="70"hight="70"&gt;</t>
  </si>
  <si>
    <t>&lt;table&gt;&lt;img src="C:\Users\BenSelilih_Info\Pictures\photo\0012124A.jpg"width="70"hight="70"&gt;</t>
  </si>
  <si>
    <t>&lt;table&gt;&lt;img src="C:\Users\BenSelilih_Info\Pictures\photo\0041124A.jpg"width="70"hight="70"&gt;</t>
  </si>
  <si>
    <t>&lt;table&gt;&lt;img src="C:\Users\BenSelilih_Info\Pictures\photo\0083124A.jpg"width="70"hight="70"&gt;</t>
  </si>
  <si>
    <t>&lt;table&gt;&lt;img src="C:\Users\BenSelilih_Info\Pictures\photo\0077124A.jpg"width="70"hight="70"&gt;</t>
  </si>
  <si>
    <t>&lt;table&gt;&lt;img src="C:\Users\BenSelilih_Info\Pictures\photo\0071124A.jpg"width="70"hight="70"&gt;</t>
  </si>
  <si>
    <t>&lt;table&gt;&lt;img src="C:\Users\BenSelilih_Info\Pictures\photo\0058124A.jpg"width="70"hight="70"&gt;</t>
  </si>
  <si>
    <t>&lt;table&gt;&lt;img src="C:\Users\BenSelilih_Info\Pictures\photo\0127124A.jpg"width="70"hight="70"&gt;</t>
  </si>
  <si>
    <t>&lt;table&gt;&lt;img src="C:\Users\BenSelilih_Info\Pictures\photo\0048124A.jpg"width="70"hight="70"&gt;</t>
  </si>
  <si>
    <t>&lt;table&gt;&lt;img src="C:\Users\BenSelilih_Info\Pictures\photo\0059124A.jpg"width="70"hight="70"&gt;</t>
  </si>
  <si>
    <t>&lt;table&gt;&lt;img src="C:\Users\BenSelilih_Info\Pictures\photo\0101124A.jpg"width="70"hight="70"&gt;</t>
  </si>
  <si>
    <t>&lt;table&gt;&lt;img src="C:\Users\BenSelilih_Info\Pictures\photo\0034124A.jpg"width="70"hight="70"&gt;</t>
  </si>
  <si>
    <t>&lt;table&gt;&lt;img src="C:\Users\BenSelilih_Info\Pictures\photo\0016124A.jpg"width="70"hight="70"&gt;</t>
  </si>
  <si>
    <t>&lt;table&gt;&lt;img src="C:\Users\BenSelilih_Info\Pictures\photo\0128124A.jpg"width="70"hight="70"&gt;</t>
  </si>
  <si>
    <t>&lt;table&gt;&lt;img src="C:\Users\BenSelilih_Info\Pictures\photo\0052124A.jpg"width="70"hight="70"&gt;</t>
  </si>
  <si>
    <t>&lt;table&gt;&lt;img src="C:\Users\BenSelilih_Info\Pictures\photo\0031124A.jpg"width="70"hight="70"&gt;</t>
  </si>
  <si>
    <t>&lt;table&gt;&lt;img src="C:\Users\BenSelilih_Info\Pictures\photo\0043124A.jpg"width="70"hight="70"&gt;</t>
  </si>
  <si>
    <t>&lt;table&gt;&lt;img src="C:\Users\BenSelilih_Info\Pictures\photo\0032124A.jpg"width="70"hight="70"&gt;</t>
  </si>
  <si>
    <t>&lt;table&gt;&lt;img src="C:\Users\BenSelilih_Info\Pictures\photo\0007124A.jpg"width="70"hight="70"&gt;</t>
  </si>
  <si>
    <t>&lt;table&gt;&lt;img src="C:\Users\BenSelilih_Info\Pictures\photo\0134124A.jpg"width="70"hight="70"&gt;</t>
  </si>
  <si>
    <t>&lt;table&gt;&lt;img src="C:\Users\BenSelilih_Info\Pictures\photo\0002124A.jpg"width="70"hight="70"&gt;</t>
  </si>
  <si>
    <t>&lt;table&gt;&lt;img src="C:\Users\BenSelilih_Info\Pictures\photo\0088124A.jpg"width="70"hight="70"&gt;</t>
  </si>
  <si>
    <t>&lt;table&gt;&lt;img src="C:\Users\BenSelilih_Info\Pictures\photo\0055124A.jpg"width="70"hight="70"&gt;</t>
  </si>
  <si>
    <t>&lt;table&gt;&lt;img src="C:\Users\BenSelilih_Info\Pictures\photo\0025124A.jpg"width="70"hight="70"&gt;</t>
  </si>
  <si>
    <t>&lt;table&gt;&lt;img src="C:\Users\BenSelilih_Info\Pictures\photo\0004124A.jpg"width="70"hight="70"&gt;</t>
  </si>
  <si>
    <t>&lt;table&gt;&lt;img src="C:\Users\BenSelilih_Info\Pictures\photo\0045124A.jpg"width="70"hight="70"&gt;</t>
  </si>
  <si>
    <t>&lt;table&gt;&lt;img src="C:\Users\BenSelilih_Info\Pictures\photo\0003124A.jpg"width="70"hight="70"&gt;</t>
  </si>
  <si>
    <t>&lt;table&gt;&lt;img src="C:\Users\BenSelilih_Info\Pictures\photo\0046124A.jpg"width="70"hight="70"&gt;</t>
  </si>
  <si>
    <t>&lt;table&gt;&lt;img src="C:\Users\BenSelilih_Info\Pictures\photo\0125124A.jpg"width="70"hight="70"&gt;</t>
  </si>
  <si>
    <t>&lt;table&gt;&lt;img src="C:\Users\BenSelilih_Info\Pictures\photo\0082124A.jpg"width="70"hight="70"&gt;</t>
  </si>
  <si>
    <t>&lt;table&gt;&lt;img src="C:\Users\BenSelilih_Info\Pictures\photo\0014124A.jpg"width="70"hight="70"&gt;</t>
  </si>
  <si>
    <t>&lt;table&gt;&lt;img src="C:\Users\BenSelilih_Info\Pictures\photo\0006124A.jpg"width="70"hight="70"&gt;</t>
  </si>
  <si>
    <t>&lt;table&gt;&lt;img src="C:\Users\BenSelilih_Info\Pictures\photo\0015124A.jpg"width="70"hight="70"&gt;</t>
  </si>
  <si>
    <t>&lt;table&gt;&lt;img src="C:\Users\BenSelilih_Info\Pictures\photo\0001124A.jpg"width="70"hight="70"&gt;</t>
  </si>
  <si>
    <t>&lt;table&gt;&lt;img src="C:\Users\BenSelilih_Info\Pictures\photo\0210222R.jpg"width="70"hight="70"&gt;</t>
  </si>
  <si>
    <t>&lt;table&gt;&lt;img src="C:\Users\BenSelilih_Info\Pictures\photo\0069222R.jpg"width="70"hight="70"&gt;</t>
  </si>
  <si>
    <t>&lt;table&gt;&lt;img src="C:\Users\BenSelilih_Info\Pictures\photo\0070222R.jpg"width="70"hight="70"&gt;</t>
  </si>
  <si>
    <t>&lt;table&gt;&lt;img src="C:\Users\BenSelilih_Info\Pictures\photo\0197222R.jpg"width="70"hight="70"&gt;</t>
  </si>
  <si>
    <t>&lt;table&gt;&lt;img src="C:\Users\BenSelilih_Info\Pictures\photo\0082222R.jpg"width="70"hight="70"&gt;</t>
  </si>
  <si>
    <t>&lt;table&gt;&lt;img src="C:\Users\BenSelilih_Info\Pictures\photo\0005222R.jpg"width="70"hight="70"&gt;</t>
  </si>
  <si>
    <t>&lt;table&gt;&lt;img src="C:\Users\BenSelilih_Info\Pictures\photo\0042222R.jpg"width="70"hight="70"&gt;</t>
  </si>
  <si>
    <t>&lt;table&gt;&lt;img src="C:\Users\BenSelilih_Info\Pictures\photo\0004222R.jpg"width="70"hight="70"&gt;</t>
  </si>
  <si>
    <t>&lt;table&gt;&lt;img src="C:\Users\BenSelilih_Info\Pictures\photo\0008222R.jpg"width="70"hight="70"&gt;</t>
  </si>
  <si>
    <t>&lt;table&gt;&lt;img src="C:\Users\BenSelilih_Info\Pictures\photo\0007222R.jpg"width="70"hight="70"&gt;</t>
  </si>
  <si>
    <t>&lt;table&gt;&lt;img src="C:\Users\BenSelilih_Info\Pictures\photo\0010222R.jpg"width="70"hight="70"&gt;</t>
  </si>
  <si>
    <t>&lt;table&gt;&lt;img src="C:\Users\BenSelilih_Info\Pictures\photo\0161222R.jpg"width="70"hight="70"&gt;</t>
  </si>
  <si>
    <t>&lt;table&gt;&lt;img src="C:\Users\BenSelilih_Info\Pictures\photo\0055222R.jpg"width="70"hight="70"&gt;</t>
  </si>
  <si>
    <t>&lt;table&gt;&lt;img src="C:\Users\BenSelilih_Info\Pictures\photo\0114222R.jpg"width="70"hight="70"&gt;</t>
  </si>
  <si>
    <t>&lt;table&gt;&lt;img src="C:\Users\BenSelilih_Info\Pictures\photo\0073222R.jpg"width="70"hight="70"&gt;</t>
  </si>
  <si>
    <t>&lt;table&gt;&lt;img src="C:\Users\BenSelilih_Info\Pictures\photo\0081222R.jpg"width="70"hight="70"&gt;</t>
  </si>
  <si>
    <t>&lt;table&gt;&lt;img src="C:\Users\BenSelilih_Info\Pictures\photo\0009222R.jpg"width="70"hight="70"&gt;</t>
  </si>
  <si>
    <t>&lt;table&gt;&lt;img src="C:\Users\BenSelilih_Info\Pictures\photo\0112222R.jpg"width="70"hight="70"&gt;</t>
  </si>
  <si>
    <t>&lt;table&gt;&lt;img src="C:\Users\BenSelilih_Info\Pictures\photo\0163222R.jpg"width="70"hight="70"&gt;</t>
  </si>
  <si>
    <t>&lt;table&gt;&lt;img src="C:\Users\BenSelilih_Info\Pictures\photo\0032223R.jpg"width="70"hight="70"&gt;</t>
  </si>
  <si>
    <t>&lt;table&gt;&lt;img src="C:\Users\BenSelilih_Info\Pictures\photo\0002223R.jpg"width="70"hight="70"&gt;</t>
  </si>
  <si>
    <t>&lt;table&gt;&lt;img src="C:\Users\BenSelilih_Info\Pictures\photo\0012223R.jpg"width="70"hight="70"&gt;</t>
  </si>
  <si>
    <t>&lt;table&gt;&lt;img src="C:\Users\BenSelilih_Info\Pictures\photo\0091223R.jpg"width="70"hight="70"&gt;</t>
  </si>
  <si>
    <t>&lt;table&gt;&lt;img src="C:\Users\BenSelilih_Info\Pictures\photo\0110223R.jpg"width="70"hight="70"&gt;</t>
  </si>
  <si>
    <t>&lt;table&gt;&lt;img src="C:\Users\BenSelilih_Info\Pictures\photo\0097223R.jpg"width="70"hight="70"&gt;</t>
  </si>
  <si>
    <t>&lt;table&gt;&lt;img src="C:\Users\BenSelilih_Info\Pictures\photo\0092223R.jpg"width="70"hight="70"&gt;</t>
  </si>
  <si>
    <t>&lt;table&gt;&lt;img src="C:\Users\BenSelilih_Info\Pictures\photo\0033223R.jpg"width="70"hight="70"&gt;</t>
  </si>
  <si>
    <t>&lt;table&gt;&lt;img src="C:\Users\BenSelilih_Info\Pictures\photo\0090223R.jpg"width="70"hight="70"&gt;</t>
  </si>
  <si>
    <t>&lt;table&gt;&lt;img src="C:\Users\BenSelilih_Info\Pictures\photo\0003223R.jpg"width="70"hight="70"&gt;</t>
  </si>
  <si>
    <t>&lt;table&gt;&lt;img src="C:\Users\BenSelilih_Info\Pictures\photo\0099223R.jpg"width="70"hight="70"&gt;</t>
  </si>
  <si>
    <t>&lt;table&gt;&lt;img src="C:\Users\BenSelilih_Info\Pictures\photo\0001223R.jpg"width="70"hight="70"&gt;</t>
  </si>
  <si>
    <t>&lt;table&gt;&lt;img src="C:\Users\BenSelilih_Info\Pictures\photo\0065223R.jpg"width="70"hight="70"&gt;</t>
  </si>
  <si>
    <t>&lt;table&gt;&lt;img src="C:\Users\BenSelilih_Info\Pictures\photo\0022223R.jpg"width="70"hight="70"&gt;</t>
  </si>
  <si>
    <t>&lt;table&gt;&lt;img src="C:\Users\BenSelilih_Info\Pictures\photo\0034223R.jpg"width="70"hight="70"&gt;</t>
  </si>
  <si>
    <t>&lt;table&gt;&lt;img src="C:\Users\BenSelilih_Info\Pictures\photo\0064223R.jpg"width="70"hight="70"&gt;</t>
  </si>
  <si>
    <t>&lt;table&gt;&lt;img src="C:\Users\BenSelilih_Info\Pictures\photo\0063223R.jpg"width="70"hight="70"&gt;</t>
  </si>
  <si>
    <t>&lt;table&gt;&lt;img src="C:\Users\BenSelilih_Info\Pictures\photo\0093223R.jpg"width="70"hight="70"&gt;</t>
  </si>
  <si>
    <t>&lt;table&gt;&lt;img src="C:\Users\BenSelilih_Info\Pictures\photo\0031223R.jpg"width="70"hight="70"&gt;</t>
  </si>
  <si>
    <t>&lt;table&gt;&lt;img src="C:\Users\BenSelilih_Info\Pictures\photo\0011223R.jpg"width="70"hight="70"&gt;</t>
  </si>
  <si>
    <t>&lt;table&gt;&lt;img src="C:\Users\BenSelilih_Info\Pictures\photo\0021223R.jpg"width="70"hight="70"&gt;</t>
  </si>
  <si>
    <t>&lt;table&gt;&lt;img src="C:\Users\BenSelilih_Info\Pictures\photo\0077223R.jpg"width="70"hight="70"&gt;</t>
  </si>
  <si>
    <t>&lt;table&gt;&lt;img src="C:\Users\BenSelilih_Info\Pictures\photo\0089223R.jpg"width="70"hight="70"&gt;</t>
  </si>
  <si>
    <t>&lt;table&gt;&lt;img src="C:\Users\BenSelilih_Info\Pictures\photo\0020223R.jpg"width="70"hight="70"&gt;</t>
  </si>
  <si>
    <t>&lt;table&gt;&lt;img src="C:\Users\BenSelilih_Info\Pictures\photo\0061222R.jpg"width="70"hight="70"&gt;</t>
  </si>
  <si>
    <t>&lt;table&gt;&lt;img src="C:\Users\BenSelilih_Info\Pictures\photo\0059222R.jpg"width="70"hight="70"&gt;</t>
  </si>
  <si>
    <t>&lt;table&gt;&lt;img src="C:\Users\BenSelilih_Info\Pictures\photo\0003222R.jpg"width="70"hight="70"&gt;</t>
  </si>
  <si>
    <t>&lt;table&gt;&lt;img src="C:\Users\BenSelilih_Info\Pictures\photo\0148222R.jpg"width="70"hight="70"&gt;</t>
  </si>
  <si>
    <t>&lt;table&gt;&lt;img src="C:\Users\BenSelilih_Info\Pictures\photo\0023222R.jpg"width="70"hight="70"&gt;</t>
  </si>
  <si>
    <t>&lt;table&gt;&lt;img src="C:\Users\BenSelilih_Info\Pictures\photo\0152222R.jpg"width="70"hight="70"&gt;</t>
  </si>
  <si>
    <t>&lt;table&gt;&lt;img src="C:\Users\BenSelilih_Info\Pictures\photo\0075222R.jpg"width="70"hight="70"&gt;</t>
  </si>
  <si>
    <t>&lt;table&gt;&lt;img src="C:\Users\BenSelilih_Info\Pictures\photo\0084222R.jpg"width="70"hight="70"&gt;</t>
  </si>
  <si>
    <t>&lt;table&gt;&lt;img src="C:\Users\BenSelilih_Info\Pictures\photo\0179222R.jpg"width="70"hight="70"&gt;</t>
  </si>
  <si>
    <t>&lt;table&gt;&lt;img src="C:\Users\BenSelilih_Info\Pictures\photo\0156222R.jpg"width="70"hight="70"&gt;</t>
  </si>
  <si>
    <t>&lt;table&gt;&lt;img src="C:\Users\BenSelilih_Info\Pictures\photo\0102222R.jpg"width="70"hight="70"&gt;</t>
  </si>
  <si>
    <t>&lt;table&gt;&lt;img src="C:\Users\BenSelilih_Info\Pictures\photo\0145222R.jpg"width="70"hight="70"&gt;</t>
  </si>
  <si>
    <t>&lt;table&gt;&lt;img src="C:\Users\BenSelilih_Info\Pictures\photo\0018222R.jpg"width="70"hight="70"&gt;</t>
  </si>
  <si>
    <t>&lt;table&gt;&lt;img src="C:\Users\BenSelilih_Info\Pictures\photo\0053222R.jpg"width="70"hight="70"&gt;</t>
  </si>
  <si>
    <t>&lt;table&gt;&lt;img src="C:\Users\BenSelilih_Info\Pictures\photo\0054222R.jpg"width="70"hight="70"&gt;</t>
  </si>
  <si>
    <t>&lt;table&gt;&lt;img src="C:\Users\BenSelilih_Info\Pictures\photo\0021222R.jpg"width="70"hight="70"&gt;</t>
  </si>
  <si>
    <t>&lt;table&gt;&lt;img src="C:\Users\BenSelilih_Info\Pictures\photo\0062222R.jpg"width="70"hight="70"&gt;</t>
  </si>
  <si>
    <t>&lt;table&gt;&lt;img src="C:\Users\BenSelilih_Info\Pictures\photo\0019222R.jpg"width="70"hight="70"&gt;</t>
  </si>
  <si>
    <t>&lt;table&gt;&lt;img src="C:\Users\BenSelilih_Info\Pictures\photo\0125222R.jpg"width="70"hight="70"&gt;</t>
  </si>
  <si>
    <t>&lt;table&gt;&lt;img src="C:\Users\BenSelilih_Info\Pictures\photo\0067222R.jpg"width="70"hight="70"&gt;</t>
  </si>
  <si>
    <t>&lt;table&gt;&lt;img src="C:\Users\BenSelilih_Info\Pictures\photo\0109222R.jpg"width="70"hight="70"&gt;</t>
  </si>
  <si>
    <t>&lt;table&gt;&lt;img src="C:\Users\BenSelilih_Info\Pictures\photo\0017222R.jpg"width="70"hight="70"&gt;</t>
  </si>
  <si>
    <t>&lt;table&gt;&lt;img src="C:\Users\BenSelilih_Info\Pictures\photo\0072222R.jpg"width="70"hight="70"&gt;</t>
  </si>
  <si>
    <t>&lt;table&gt;&lt;img src="C:\Users\BenSelilih_Info\Pictures\photo\0071222R.jpg"width="70"hight="70"&gt;</t>
  </si>
  <si>
    <t>&lt;table&gt;&lt;img src="C:\Users\BenSelilih_Info\Pictures\photo\0103223R.jpg"width="70"hight="70"&gt;</t>
  </si>
  <si>
    <t>&lt;table&gt;&lt;img src="C:\Users\BenSelilih_Info\Pictures\photo\0010223R.jpg"width="70"hight="70"&gt;</t>
  </si>
  <si>
    <t>&lt;table&gt;&lt;img src="C:\Users\BenSelilih_Info\Pictures\photo\0008223R.jpg"width="70"hight="70"&gt;</t>
  </si>
  <si>
    <t>&lt;table&gt;&lt;img src="C:\Users\BenSelilih_Info\Pictures\photo\0059223R.jpg"width="70"hight="70"&gt;</t>
  </si>
  <si>
    <t>&lt;table&gt;&lt;img src="C:\Users\BenSelilih_Info\Pictures\photo\0068223R.jpg"width="70"hight="70"&gt;</t>
  </si>
  <si>
    <t>&lt;table&gt;&lt;img src="C:\Users\BenSelilih_Info\Pictures\photo\0174223R.jpg"width="70"hight="70"&gt;</t>
  </si>
  <si>
    <t>&lt;table&gt;&lt;img src="C:\Users\BenSelilih_Info\Pictures\photo\0094223R.jpg"width="70"hight="70"&gt;</t>
  </si>
  <si>
    <t>&lt;table&gt;&lt;img src="C:\Users\BenSelilih_Info\Pictures\photo\0173223R.jpg"width="70"hight="70"&gt;</t>
  </si>
  <si>
    <t>&lt;table&gt;&lt;img src="C:\Users\BenSelilih_Info\Pictures\photo\0104223R.jpg"width="70"hight="70"&gt;</t>
  </si>
  <si>
    <t>&lt;table&gt;&lt;img src="C:\Users\BenSelilih_Info\Pictures\photo\0035223R.jpg"width="70"hight="70"&gt;</t>
  </si>
  <si>
    <t>&lt;table&gt;&lt;img src="C:\Users\BenSelilih_Info\Pictures\photo\0095223R.jpg"width="70"hight="70"&gt;</t>
  </si>
  <si>
    <t>&lt;table&gt;&lt;img src="C:\Users\BenSelilih_Info\Pictures\photo\0061223R.jpg"width="70"hight="70"&gt;</t>
  </si>
  <si>
    <t>&lt;table&gt;&lt;img src="C:\Users\BenSelilih_Info\Pictures\photo\0078223R.jpg"width="70"hight="70"&gt;</t>
  </si>
  <si>
    <t>&lt;table&gt;&lt;img src="C:\Users\BenSelilih_Info\Pictures\photo\0079223R.jpg"width="70"hight="70"&gt;</t>
  </si>
  <si>
    <t>&lt;table&gt;&lt;img src="C:\Users\BenSelilih_Info\Pictures\photo\0105223R.jpg"width="70"hight="70"&gt;</t>
  </si>
  <si>
    <t>&lt;table&gt;&lt;img src="C:\Users\BenSelilih_Info\Pictures\photo\0168223R.jpg"width="70"hight="70"&gt;</t>
  </si>
  <si>
    <t>&lt;table&gt;&lt;img src="C:\Users\BenSelilih_Info\Pictures\photo\0036223R.jpg"width="70"hight="70"&gt;</t>
  </si>
  <si>
    <t>&lt;table&gt;&lt;img src="C:\Users\BenSelilih_Info\Pictures\photo\0109223R.jpg"width="70"hight="70"&gt;</t>
  </si>
  <si>
    <t>&lt;table&gt;&lt;img src="C:\Users\BenSelilih_Info\Pictures\photo\0062223R.jpg"width="70"hight="70"&gt;</t>
  </si>
  <si>
    <t>&lt;table&gt;&lt;img src="C:\Users\BenSelilih_Info\Pictures\photo\0108223R.jpg"width="70"hight="70"&gt;</t>
  </si>
  <si>
    <t>&lt;table&gt;&lt;img src="C:\Users\BenSelilih_Info\Pictures\photo\0126223R.jpg"width="70"hight="70"&gt;</t>
  </si>
  <si>
    <t>&lt;table&gt;&lt;img src="C:\Users\BenSelilih_Info\Pictures\photo\0004223R.jpg"width="70"hight="70"&gt;</t>
  </si>
  <si>
    <t>&lt;table&gt;&lt;img src="C:\Users\BenSelilih_Info\Pictures\photo\0060223R.jpg"width="70"hight="70"&gt;</t>
  </si>
  <si>
    <t>&lt;table&gt;&lt;img src="C:\Users\BenSelilih_Info\Pictures\photo\0096223R.jpg"width="70"hight="70"&gt;</t>
  </si>
  <si>
    <t>&lt;table&gt;&lt;img src="C:\Users\BenSelilih_Info\Pictures\photo\0006223R.jpg"width="70"hight="70"&gt;</t>
  </si>
  <si>
    <t>&lt;table&gt;&lt;img src="C:\Users\BenSelilih_Info\Pictures\photo\0037223R.jpg"width="70"hight="70"&gt;</t>
  </si>
  <si>
    <t>&lt;table&gt;&lt;img src="C:\Users\BenSelilih_Info\Pictures\photo\0176223R.jpg"width="70"hight="70"&gt;</t>
  </si>
  <si>
    <t>&lt;table&gt;&lt;img src="C:\Users\BenSelilih_Info\Pictures\photo\0254222R.jpg"width="70"hight="70"&gt;</t>
  </si>
  <si>
    <t>&lt;table&gt;&lt;img src="C:\Users\BenSelilih_Info\Pictures\photo\0269222R.jpg"width="70"hight="70"&gt;</t>
  </si>
  <si>
    <t>&lt;table&gt;&lt;img src="C:\Users\BenSelilih_Info\Pictures\photo\0256222R.jpg"width="70"hight="70"&gt;</t>
  </si>
  <si>
    <t>&lt;table&gt;&lt;img src="C:\Users\BenSelilih_Info\Pictures\photo\0252222R.jpg"width="70"hight="70"&gt;</t>
  </si>
  <si>
    <t>&lt;table&gt;&lt;img src="C:\Users\BenSelilih_Info\Pictures\photo\0261222R.jpg"width="70"hight="70"&gt;</t>
  </si>
  <si>
    <t>&lt;table&gt;&lt;img src="C:\Users\BenSelilih_Info\Pictures\photo\0259222R.jpg"width="70"hight="70"&gt;</t>
  </si>
  <si>
    <t>&lt;table&gt;&lt;img src="C:\Users\BenSelilih_Info\Pictures\photo\0249222R.jpg"width="70"hight="70"&gt;</t>
  </si>
  <si>
    <t>&lt;table&gt;&lt;img src="C:\Users\BenSelilih_Info\Pictures\photo\0251222R.jpg"width="70"hight="70"&gt;</t>
  </si>
  <si>
    <t>&lt;table&gt;&lt;img src="C:\Users\BenSelilih_Info\Pictures\photo\0253222R.jpg"width="70"hight="70"&gt;</t>
  </si>
  <si>
    <t>&lt;table&gt;&lt;img src="C:\Users\BenSelilih_Info\Pictures\photo\0258222R.jpg"width="70"hight="70"&gt;</t>
  </si>
  <si>
    <t>&lt;table&gt;&lt;img src="C:\Users\BenSelilih_Info\Pictures\photo\0255222R.jpg"width="70"hight="70"&gt;</t>
  </si>
  <si>
    <t>&lt;table&gt;&lt;img src="C:\Users\BenSelilih_Info\Pictures\photo\0257222R.jpg"width="70"hight="70"&gt;</t>
  </si>
  <si>
    <t>&lt;table&gt;&lt;img src="C:\Users\BenSelilih_Info\Pictures\photo\0260222R.jpg"width="70"hight="70"&gt;</t>
  </si>
  <si>
    <t>&lt;table&gt;&lt;img src="C:\Users\BenSelilih_Info\Pictures\photo\0248222R.jpg"width="70"hight="70"&gt;</t>
  </si>
  <si>
    <t>&lt;table&gt;&lt;img src="C:\Users\BenSelilih_Info\Pictures\photo\0250222R.jpg"width="70"hight="70"&gt;</t>
  </si>
  <si>
    <t>&lt;table&gt;&lt;img src="C:\Users\BenSelilih_Info\Pictures\photo\0107223R.jpg"width="70"hight="70"&gt;</t>
  </si>
  <si>
    <t>&lt;table&gt;&lt;img src="C:\Users\BenSelilih_Info\Pictures\photo\0209223R.jpg"width="70"hight="70"&gt;</t>
  </si>
  <si>
    <t>&lt;table&gt;&lt;img src="C:\Users\BenSelilih_Info\Pictures\photo\0130223R.jpg"width="70"hight="70"&gt;</t>
  </si>
  <si>
    <t>&lt;table&gt;&lt;img src="C:\Users\BenSelilih_Info\Pictures\photo\0111223R.jpg"width="70"hight="70"&gt;</t>
  </si>
  <si>
    <t>&lt;table&gt;&lt;img src="C:\Users\BenSelilih_Info\Pictures\photo\0125223R.jpg"width="70"hight="70"&gt;</t>
  </si>
  <si>
    <t>&lt;table&gt;&lt;img src="C:\Users\BenSelilih_Info\Pictures\photo\0167223R.jpg"width="70"hight="70"&gt;</t>
  </si>
  <si>
    <t>&lt;table&gt;&lt;img src="C:\Users\BenSelilih_Info\Pictures\photo\0019223R.jpg"width="70"hight="70"&gt;</t>
  </si>
  <si>
    <t>&lt;table&gt;&lt;img src="C:\Users\BenSelilih_Info\Pictures\photo\0038223R.jpg"width="70"hight="70"&gt;</t>
  </si>
  <si>
    <t>&lt;table&gt;&lt;img src="C:\Users\BenSelilih_Info\Pictures\photo\0102223R.jpg"width="70"hight="70"&gt;</t>
  </si>
  <si>
    <t>&lt;table&gt;&lt;img src="C:\Users\BenSelilih_Info\Pictures\photo\0212223R.jpg"width="70"hight="70"&gt;</t>
  </si>
  <si>
    <t>&lt;table&gt;&lt;img src="#N/A"width="70"hight="70"&gt;</t>
  </si>
  <si>
    <t>&lt;table&gt;&lt;img src="C:\Users\BenSelilih_Info\Pictures\photo\.jpg"width="70"hight="70"&gt;</t>
  </si>
  <si>
    <t>&lt;table&gt;&lt;img src="C:\Users\BenSelilih_Info\Pictures\photo\0081223A.jpg"width="70"hight="70"&gt;</t>
  </si>
  <si>
    <t>بطــــاقة المطعــــم</t>
  </si>
  <si>
    <t>رقم</t>
  </si>
  <si>
    <t>مؤهل للقبول</t>
  </si>
  <si>
    <t>قبول ملف</t>
  </si>
  <si>
    <t>قبول مداولات</t>
  </si>
  <si>
    <t>إلغاء الحساب</t>
  </si>
  <si>
    <t>ملاحظة للمتكون</t>
  </si>
  <si>
    <t>إعادة التوجيه</t>
  </si>
  <si>
    <t>تغيير كلمة سر</t>
  </si>
  <si>
    <t>إسم المستخدم</t>
  </si>
  <si>
    <t>الصورة</t>
  </si>
  <si>
    <t>شهادة طبية</t>
  </si>
  <si>
    <t>الشهادة المدرسية</t>
  </si>
  <si>
    <t>الشهادة المدرسية (التربية الوطنية)</t>
  </si>
  <si>
    <t>عقد التمهين</t>
  </si>
  <si>
    <t>شهادة التكوين + الخبرة</t>
  </si>
  <si>
    <t>شهادة ميلاد</t>
  </si>
  <si>
    <t>الجنسية</t>
  </si>
  <si>
    <t>الدولة الأجنبية</t>
  </si>
  <si>
    <t>رقم جواز السفر</t>
  </si>
  <si>
    <t>ر.ت.و. الأجنبي</t>
  </si>
  <si>
    <t>بطاقة إقامة/منحة</t>
  </si>
  <si>
    <t>رسالة توجيه_البطالة</t>
  </si>
  <si>
    <t>ملاحظة (ANEM)</t>
  </si>
  <si>
    <t>تاريخ التسجيل</t>
  </si>
  <si>
    <t>الإسم</t>
  </si>
  <si>
    <t>Nom</t>
  </si>
  <si>
    <t>Prenom</t>
  </si>
  <si>
    <t>ولاية الميلاد</t>
  </si>
  <si>
    <t>ولاية الإقامة</t>
  </si>
  <si>
    <t>نوع</t>
  </si>
  <si>
    <t>مفترض</t>
  </si>
  <si>
    <t>البريد الإلكتروني</t>
  </si>
  <si>
    <t>الهاتف</t>
  </si>
  <si>
    <t>إسم الأب</t>
  </si>
  <si>
    <t>لقب الأم</t>
  </si>
  <si>
    <t>إسم الأم</t>
  </si>
  <si>
    <t>العنوان</t>
  </si>
  <si>
    <t>NIN</t>
  </si>
  <si>
    <t>NIN (قبل التعديل)</t>
  </si>
  <si>
    <t>رقم وسيط</t>
  </si>
  <si>
    <t>ذوي الاحتياجات الخاصة</t>
  </si>
  <si>
    <t>رمز العرض</t>
  </si>
  <si>
    <t>التخصص</t>
  </si>
  <si>
    <t>الشهادة</t>
  </si>
  <si>
    <t>المستوى المطلوب</t>
  </si>
  <si>
    <t>نمط التكوين</t>
  </si>
  <si>
    <t>المؤسسة</t>
  </si>
  <si>
    <t>تاريخ البداية</t>
  </si>
  <si>
    <t>تاريخ النهاية</t>
  </si>
  <si>
    <t/>
  </si>
  <si>
    <t>الزاوية العابدية</t>
  </si>
  <si>
    <t>توقرت</t>
  </si>
  <si>
    <t>ذ</t>
  </si>
  <si>
    <t>ش.ت.م | CMP</t>
  </si>
  <si>
    <t>الرابعة متوسط | 4EM ANNEE MOYENNE</t>
  </si>
  <si>
    <t>حضوري أولي  | Présentiel</t>
  </si>
  <si>
    <t>5510 | مركز التكوين المهني و التمهين الزاوية العابدية</t>
  </si>
  <si>
    <t>2026-10-04</t>
  </si>
  <si>
    <t>2028-04-03</t>
  </si>
  <si>
    <t>Ch05593914</t>
  </si>
  <si>
    <t>takwindz_files/photo_path/PhotoID_36_569811f9-da02-4f07-8fe1-59725909139d.jpg</t>
  </si>
  <si>
    <t>takwindz_files/certificat_medical_path/certificat_medical_36_939699f2-8cd3-49c0-9328-6115d26d6284.pdf</t>
  </si>
  <si>
    <t>takwindz_files/certscol_path/certscol_36_2a1a64cb-993e-46ab-84f2-a6ea8a96b1fd.pdf</t>
  </si>
  <si>
    <t>2026-09-27 10:57:30</t>
  </si>
  <si>
    <t>بوشندوقة</t>
  </si>
  <si>
    <t>بن عيسى</t>
  </si>
  <si>
    <t>hamad2005dz@gmail.com</t>
  </si>
  <si>
    <t>0562364376</t>
  </si>
  <si>
    <t>حي 05 جويلية الزاوية العابدية توقرت</t>
  </si>
  <si>
    <t>100051098000490003</t>
  </si>
  <si>
    <t>تقرت</t>
  </si>
  <si>
    <t>عبد الرزاق</t>
  </si>
  <si>
    <t>قمو</t>
  </si>
  <si>
    <t>صلاح الدين</t>
  </si>
  <si>
    <t>عبعوب</t>
  </si>
  <si>
    <t>ABOUB</t>
  </si>
  <si>
    <t>الطيبات</t>
  </si>
  <si>
    <t>خرفي</t>
  </si>
  <si>
    <t>KHERFI</t>
  </si>
  <si>
    <t>YbuG511099</t>
  </si>
  <si>
    <t>takwindz_files/photo_path/PhotoID_36_e0af7988-4e55-4ed3-b05d-f1e0a8b0a516.jpg</t>
  </si>
  <si>
    <t>2026-09-23 21:44:07</t>
  </si>
  <si>
    <t>دوغة</t>
  </si>
  <si>
    <t>عبد الحليم</t>
  </si>
  <si>
    <t>jhkjkbjhkbb2002@gmail.com</t>
  </si>
  <si>
    <t>0665382202</t>
  </si>
  <si>
    <t>المقارين ولاية تقرت</t>
  </si>
  <si>
    <t>100081108002660000</t>
  </si>
  <si>
    <t>النزلة</t>
  </si>
  <si>
    <t>تبسبست</t>
  </si>
  <si>
    <t>يوسف</t>
  </si>
  <si>
    <t>Uy3N420293</t>
  </si>
  <si>
    <t>takwindz_files/photo_path/PhotoID_36_cc7e5158-4905-4e07-bd86-62ecf8655214.jpg</t>
  </si>
  <si>
    <t>takwindz_files/certificat_medical_path/certificat_medical_36_8a99d5df-80b9-4d24-9952-459af786f655.pdf</t>
  </si>
  <si>
    <t>takwindz_files/certscol_path/certscol_36_5e6dd018-667e-45a3-b332-65bde0551051.pdf</t>
  </si>
  <si>
    <t>2026-09-20 20:55:21</t>
  </si>
  <si>
    <t>كريكر</t>
  </si>
  <si>
    <t>عبد النافع</t>
  </si>
  <si>
    <t>nafkrykr@gmail.com</t>
  </si>
  <si>
    <t>0652308462</t>
  </si>
  <si>
    <t>100091098000100000</t>
  </si>
  <si>
    <t>0iLW134732</t>
  </si>
  <si>
    <t>takwindz_files/photo_path/PhotoID_36_3ed4ed93-af12-4f10-8805-f52dbeca5032.png</t>
  </si>
  <si>
    <t>takwindz_files/certificat_medical_path/certificat_medical_36_74565c14-cef3-4964-883e-35b312216a64.pdf</t>
  </si>
  <si>
    <t>takwindz_files/certscol_path/certscol_36_06b5805f-ee5c-4937-9f29-2a818bc44788.pdf</t>
  </si>
  <si>
    <t>2026-08-21 11:09:02</t>
  </si>
  <si>
    <t>حملاوي</t>
  </si>
  <si>
    <t>عبد النور</t>
  </si>
  <si>
    <t>HAMLAOUI</t>
  </si>
  <si>
    <t>Abdenour</t>
  </si>
  <si>
    <t>07/10/2009</t>
  </si>
  <si>
    <t>hemlaouiabdelnour@gmail.com</t>
  </si>
  <si>
    <t>0662925091</t>
  </si>
  <si>
    <t>مراد</t>
  </si>
  <si>
    <t>العابد</t>
  </si>
  <si>
    <t>خديجة</t>
  </si>
  <si>
    <t>كتلة454 رقم 07 حي الخلوة الزاوية العابدية</t>
  </si>
  <si>
    <t>100091099013220009</t>
  </si>
  <si>
    <t>fgtk400237</t>
  </si>
  <si>
    <t>takwindz_files/photo_path/PhotoID_36_b822928f-de55-4568-9fc5-ae0bd7f97cca.jpg</t>
  </si>
  <si>
    <t>takwindz_files/certificat_medical_path/certificat_medical_36_a2094774-cd90-4ab7-b949-078626eff7f6.pdf</t>
  </si>
  <si>
    <t>takwindz_files/certscol_path/certscol_36_2e1629fb-469f-4a99-b83e-4637eb7117af.pdf</t>
  </si>
  <si>
    <t>2026-09-20 10:15:23</t>
  </si>
  <si>
    <t xml:space="preserve">بن قويدر </t>
  </si>
  <si>
    <t>محجوبة</t>
  </si>
  <si>
    <t>الجلفة</t>
  </si>
  <si>
    <t>benshry2@gmail.com</t>
  </si>
  <si>
    <t>0673098615</t>
  </si>
  <si>
    <t>حي القبلة المقارين</t>
  </si>
  <si>
    <t>110030625024280005</t>
  </si>
  <si>
    <t>j2S7657280</t>
  </si>
  <si>
    <t>2026-09-29 11:38:53</t>
  </si>
  <si>
    <t>بالهاني</t>
  </si>
  <si>
    <t>غزلان</t>
  </si>
  <si>
    <t>BELHANI</t>
  </si>
  <si>
    <t>Ghezlan</t>
  </si>
  <si>
    <t>10/06/2006</t>
  </si>
  <si>
    <t>أ</t>
  </si>
  <si>
    <t>ghzlanblhany@gmail.com</t>
  </si>
  <si>
    <t>0663576756</t>
  </si>
  <si>
    <t>نور الدين</t>
  </si>
  <si>
    <t>زهية</t>
  </si>
  <si>
    <t>110061097005570006</t>
  </si>
  <si>
    <t>2poA109417</t>
  </si>
  <si>
    <t>takwindz_files/photo_path/PhotoID_36_ea24826e-d8c9-4385-b84b-99dce8ef4fc4.jpg</t>
  </si>
  <si>
    <t>takwindz_files/certificat_medical_path/certificat_medical_36_2d3c5b3b-16b8-457b-bf77-a2f69c414b6e.pdf</t>
  </si>
  <si>
    <t>takwindz_files/certscol_path/certscol_36_76be4dfd-c71f-46af-b2f0-ae31067d89b5.pdf</t>
  </si>
  <si>
    <t>2026-08-17 18:57:35</t>
  </si>
  <si>
    <t>غياط</t>
  </si>
  <si>
    <t>سمر</t>
  </si>
  <si>
    <t>GHIAT</t>
  </si>
  <si>
    <t>Samer</t>
  </si>
  <si>
    <t>10/05/2007</t>
  </si>
  <si>
    <t>samarghait@gmail.com</t>
  </si>
  <si>
    <t>0779784122</t>
  </si>
  <si>
    <t>العيد</t>
  </si>
  <si>
    <t>بالغمري</t>
  </si>
  <si>
    <t>مسعودة</t>
  </si>
  <si>
    <t>110071096002950003</t>
  </si>
  <si>
    <t>AaWA142476</t>
  </si>
  <si>
    <t>takwindz_files/photo_path/PhotoID_36_d8a9d58d-76ae-4af6-a062-87044c2a7d14.jpeg</t>
  </si>
  <si>
    <t>takwindz_files/certificat_medical_path/certificat_medical_36_0c8b499f-33c7-4020-b8e9-4daa23799a3c.pdf</t>
  </si>
  <si>
    <t>takwindz_files/certscol_path/certscol_36_19d2e3f8-fce0-4110-9fac-f6e289a172d5.pdf</t>
  </si>
  <si>
    <t>2026-09-16 12:02:00</t>
  </si>
  <si>
    <t>خياط</t>
  </si>
  <si>
    <t>هديل</t>
  </si>
  <si>
    <t>KHIAT</t>
  </si>
  <si>
    <t>Hadil</t>
  </si>
  <si>
    <t>26/10/2007</t>
  </si>
  <si>
    <t>amoulaamaldz2002@gmail.com</t>
  </si>
  <si>
    <t>0663007226</t>
  </si>
  <si>
    <t>السعيد بن العيد</t>
  </si>
  <si>
    <t>خميسى</t>
  </si>
  <si>
    <t>خديجة بنت مصطفى</t>
  </si>
  <si>
    <t>110071098004340001</t>
  </si>
  <si>
    <t>2DsF565798</t>
  </si>
  <si>
    <t>takwindz_files/photo_path/PhotoID_36_deabec84-c640-4eb5-838e-3dc11d2b55f9.jpg</t>
  </si>
  <si>
    <t>takwindz_files/certificat_medical_path/certificat_medical_36_76d4863d-7c22-4829-840a-e8f00a819ca2.pdf</t>
  </si>
  <si>
    <t>takwindz_files/certscol_path/certscol_36_1fd15411-fc26-468d-b72c-d4c4a454455d.pdf</t>
  </si>
  <si>
    <t>2026-09-26 10:20:47</t>
  </si>
  <si>
    <t>صايم</t>
  </si>
  <si>
    <t>شيماء</t>
  </si>
  <si>
    <t>saim2008@gmail.com</t>
  </si>
  <si>
    <t>0557619032</t>
  </si>
  <si>
    <t>110081096001390001</t>
  </si>
  <si>
    <t>2bjR365063</t>
  </si>
  <si>
    <t>takwindz_files/photo_path/PhotoID_36_5d504fb1-7c22-4985-973a-2c46fd5feaf2.jpg</t>
  </si>
  <si>
    <t>2026-09-17 11:24:06</t>
  </si>
  <si>
    <t xml:space="preserve">ريغي </t>
  </si>
  <si>
    <t>ماريا</t>
  </si>
  <si>
    <t>zydmarya5@gmail.com</t>
  </si>
  <si>
    <t>0666669078</t>
  </si>
  <si>
    <t>كتلة 111 رقم 20 حي المجاهد</t>
  </si>
  <si>
    <t>110081096003280002</t>
  </si>
  <si>
    <t>d7LY312641</t>
  </si>
  <si>
    <t>takwindz_files/photo_path/PhotoID_36_739152ee-fca5-490d-9f3a-d26a603a4b26.jpg</t>
  </si>
  <si>
    <t>takwindz_files/certificat_medical_path/certificat_medical_36_ac791cb2-d8bc-4b30-bf5a-b4da3a1de173.pdf</t>
  </si>
  <si>
    <t>takwindz_files/certscol_path/certscol_36_15dcad31-c1d0-4ea1-82ce-59bc1e062c10.pdf</t>
  </si>
  <si>
    <t>2026-09-14 17:41:13</t>
  </si>
  <si>
    <t>باباعربي</t>
  </si>
  <si>
    <t>إزدهار</t>
  </si>
  <si>
    <t>BABA ARBI</t>
  </si>
  <si>
    <t>Izdihar</t>
  </si>
  <si>
    <t>11/02/2008</t>
  </si>
  <si>
    <t>krimo202066@gmail.com</t>
  </si>
  <si>
    <t>0672022682</t>
  </si>
  <si>
    <t>عثمان بن عبد الرحمان</t>
  </si>
  <si>
    <t>بركبيه</t>
  </si>
  <si>
    <t>سهيله بنت محمد</t>
  </si>
  <si>
    <t>110081098000660004</t>
  </si>
  <si>
    <t>mVNn321524</t>
  </si>
  <si>
    <t>takwindz_files/photo_path/PhotoID_36_7ab1e23e-8620-40d6-b8aa-85d625c87380.jpg</t>
  </si>
  <si>
    <t>takwindz_files/certificat_medical_path/certificat_medical_36_61304a4b-caa2-4134-8154-d998fc23e3b9.pdf</t>
  </si>
  <si>
    <t>2026-09-15 10:47:45</t>
  </si>
  <si>
    <t>سجود</t>
  </si>
  <si>
    <t>labedsoudjoud08@gmail.com</t>
  </si>
  <si>
    <t>0672663049</t>
  </si>
  <si>
    <t>كتلة 71 رقم 11 حي وادي ريغ</t>
  </si>
  <si>
    <t>110081098004230002</t>
  </si>
  <si>
    <t>اماني</t>
  </si>
  <si>
    <t>RyLA341001</t>
  </si>
  <si>
    <t>takwindz_files/photo_path/PhotoID_36_e4243add-51ec-4081-b800-7455ace95b04.jpg</t>
  </si>
  <si>
    <t>takwindz_files/certificat_medical_path/certificat_medical_36_8ec3722e-b7bd-45e4-8c3a-7689eaef33d7.pdf</t>
  </si>
  <si>
    <t>takwindz_files/certscol_path/certscol_36_a666a13d-2f8c-44aa-b25d-25d4650056f0.pdf</t>
  </si>
  <si>
    <t>2026-09-16 10:13:23</t>
  </si>
  <si>
    <t>غويني</t>
  </si>
  <si>
    <t>سعاد</t>
  </si>
  <si>
    <t>zhrtgwyny22@gmail.com</t>
  </si>
  <si>
    <t>0655747938</t>
  </si>
  <si>
    <t>110081098005180008</t>
  </si>
  <si>
    <t>Rp5F566433</t>
  </si>
  <si>
    <t>takwindz_files/photo_path/PhotoID_36_5d5191b3-1b9b-492f-80fb-13d9f111fc73.jpg</t>
  </si>
  <si>
    <t>takwindz_files/certificat_medical_path/certificat_medical_36_f057b730-a94a-441a-a678-8c04d02ec54e.pdf</t>
  </si>
  <si>
    <t>takwindz_files/certscol_path/certscol_36_50cd19ec-012b-4078-b55d-405fd696b868.pdf</t>
  </si>
  <si>
    <t>2026-09-26 10:40:46</t>
  </si>
  <si>
    <t>عرعار</t>
  </si>
  <si>
    <t>امينة</t>
  </si>
  <si>
    <t>arar2009@gmail.com</t>
  </si>
  <si>
    <t>0654193024</t>
  </si>
  <si>
    <t>كتلة 147 رقم 04 حي المجاهد تبسبست</t>
  </si>
  <si>
    <t>110091096001510002</t>
  </si>
  <si>
    <t>bO6l60393</t>
  </si>
  <si>
    <t>takwindz_files/photo_path/PhotoID_36_5171f89d-125e-459b-a717-ac1e266c84ba.jpg</t>
  </si>
  <si>
    <t>takwindz_files/certificat_medical_path/certificat_medical_36_3194d85d-504d-4761-a6cf-643140d1c471.pdf</t>
  </si>
  <si>
    <t>takwindz_files/certscol_path/certscol_36_ce15066f-94c8-4972-a68d-73ed2b4dd571.pdf</t>
  </si>
  <si>
    <t>2026-08-11 20:56:54</t>
  </si>
  <si>
    <t>بوليفة</t>
  </si>
  <si>
    <t>فاطمه الزهراء</t>
  </si>
  <si>
    <t>BOULIFA</t>
  </si>
  <si>
    <t>Fatma Zahra</t>
  </si>
  <si>
    <t>03/01/2009</t>
  </si>
  <si>
    <t>مقر</t>
  </si>
  <si>
    <t>fatimazohraboulifa@gmail.com</t>
  </si>
  <si>
    <t>0554795911</t>
  </si>
  <si>
    <t>عبد الجواد</t>
  </si>
  <si>
    <t>بن دحمان</t>
  </si>
  <si>
    <t>أم الخير</t>
  </si>
  <si>
    <t>110091107000010009</t>
  </si>
  <si>
    <t>CPVV723144</t>
  </si>
  <si>
    <t>takwindz_files/photo_path/PhotoID_36_c2fb0e2f-0e55-41c1-a4ad-7448bc03dfbf.jpg</t>
  </si>
  <si>
    <t>takwindz_files/certificat_medical_path/certificat_medical_36_f2a227a2-7c15-4a0b-9747-66cc4a12f8c3.pdf</t>
  </si>
  <si>
    <t>takwindz_files/certscol_path/certscol_36_9bf17a0c-1a57-4395-ba7b-b5483046ed85.pdf</t>
  </si>
  <si>
    <t>2026-09-30 18:11:16</t>
  </si>
  <si>
    <t>نور الهدى</t>
  </si>
  <si>
    <t>nourelhouda2009@gmail.com</t>
  </si>
  <si>
    <t>0657193092</t>
  </si>
  <si>
    <t>110091108001600004</t>
  </si>
  <si>
    <t>ش.ت.م.م | CFPS</t>
  </si>
  <si>
    <t>الطور الابتدائي | CYCLE PRIMAIRE</t>
  </si>
  <si>
    <t>2027-10-03</t>
  </si>
  <si>
    <t>E3ED474400</t>
  </si>
  <si>
    <t>takwindz_files/photo_path/PhotoID_36_ef61d2cb-a500-43a3-b207-9b6f92231922.jpg</t>
  </si>
  <si>
    <t>takwindz_files/certificat_medical_path/certificat_medical_36_a421d6fe-e3ba-4748-8364-6c596d368f8a.pdf</t>
  </si>
  <si>
    <t>takwindz_files/certscol_path/certscol_36_ee1a2030-c5d8-4c12-b27b-6b80eb0b83af.pdf</t>
  </si>
  <si>
    <t>2026-09-22 22:09:18</t>
  </si>
  <si>
    <t>الأعور</t>
  </si>
  <si>
    <t>علي</t>
  </si>
  <si>
    <t>alilaouer@gmail.com</t>
  </si>
  <si>
    <t>0666258402</t>
  </si>
  <si>
    <t>100071099011660002</t>
  </si>
  <si>
    <t>escJ741693</t>
  </si>
  <si>
    <t>takwindz_files/photo_path/PhotoID_36_9e200987-f9e5-4474-85d0-2b6aca25bec9.jpg</t>
  </si>
  <si>
    <t>takwindz_files/certificat_medical_path/certificat_medical_36_9e477f9d-0b70-4b8b-9e5c-ba732fad6a66.pdf</t>
  </si>
  <si>
    <t>2026-10-01 11:58:48</t>
  </si>
  <si>
    <t>ابي ميلود</t>
  </si>
  <si>
    <t>محمد نضال</t>
  </si>
  <si>
    <t>ورقلة</t>
  </si>
  <si>
    <t>abimouloudnidal@gmail.com</t>
  </si>
  <si>
    <t>0777252135</t>
  </si>
  <si>
    <t>100081089035860009</t>
  </si>
  <si>
    <t>qoia586688</t>
  </si>
  <si>
    <t>takwindz_files/photo_path/PhotoID_36_80df0c3b-4f06-48ff-a1a9-00cb9e76567e.jpg</t>
  </si>
  <si>
    <t>takwindz_files/certificat_medical_path/certificat_medical_36_05cd06f9-87e4-474d-9b4b-2c5dc7fdc9c2.pdf</t>
  </si>
  <si>
    <t>takwindz_files/certscol_path/certscol_36_6eb42a3f-6f77-4975-8caa-b1a2d01a3ccc.pdf</t>
  </si>
  <si>
    <t>2026-09-26 21:49:35</t>
  </si>
  <si>
    <t>بوعلي</t>
  </si>
  <si>
    <t>سيف الدين</t>
  </si>
  <si>
    <t>BOUALI</t>
  </si>
  <si>
    <t>Seif Eddine</t>
  </si>
  <si>
    <t>30/01/2008</t>
  </si>
  <si>
    <t>seif2008@gmail.com</t>
  </si>
  <si>
    <t>0654017651</t>
  </si>
  <si>
    <t>العربي بن الربيعي</t>
  </si>
  <si>
    <t>حنونه</t>
  </si>
  <si>
    <t>حياة بنت مسعود</t>
  </si>
  <si>
    <t>100081098000600001</t>
  </si>
  <si>
    <t>gCiS319920</t>
  </si>
  <si>
    <t>takwindz_files/photo_path/PhotoID_36_68aa37a7-8e4b-4dc9-9bc2-678d64792e75.jpg</t>
  </si>
  <si>
    <t>takwindz_files/certificat_medical_path/certificat_medical_36_d4493532-18e8-4b1b-90cf-67dec81e2379.pdf</t>
  </si>
  <si>
    <t>takwindz_files/certscol_path/certscol_36_cf63f86a-db11-4939-a06c-4bf8d3f6b6c2.pdf</t>
  </si>
  <si>
    <t>2026-09-15 09:44:14</t>
  </si>
  <si>
    <t>بن قويدر</t>
  </si>
  <si>
    <t>خالد</t>
  </si>
  <si>
    <t>benkouider1122@gmail.com</t>
  </si>
  <si>
    <t>0562572239</t>
  </si>
  <si>
    <t>كتلة 175 رقم 01 حي الباستين</t>
  </si>
  <si>
    <t>100081098003280009</t>
  </si>
  <si>
    <t>بن هنية</t>
  </si>
  <si>
    <t>czF063290</t>
  </si>
  <si>
    <t>takwindz_files/photo_path/PhotoID_36_39feb81d-4561-4276-a13b-48cc4f75b0fb.jpg</t>
  </si>
  <si>
    <t>takwindz_files/certificat_medical_path/certificat_medical_36_5a0ff823-4251-4681-b008-a044381d9cbc.pdf</t>
  </si>
  <si>
    <t>takwindz_files/certscol_path/certscol_36_e422ed15-e253-487f-978d-0e973ebae570.pdf</t>
  </si>
  <si>
    <t>2026-08-12 10:40:54</t>
  </si>
  <si>
    <t>دومان</t>
  </si>
  <si>
    <t>عماد</t>
  </si>
  <si>
    <t>DOUMANE</t>
  </si>
  <si>
    <t>Imad</t>
  </si>
  <si>
    <t>05/12/2009</t>
  </si>
  <si>
    <t>تنس</t>
  </si>
  <si>
    <t>شلف</t>
  </si>
  <si>
    <t>amr943811@gmail.com</t>
  </si>
  <si>
    <t>0549263545</t>
  </si>
  <si>
    <t>السعيد</t>
  </si>
  <si>
    <t>بن شاعة</t>
  </si>
  <si>
    <t>جمعية</t>
  </si>
  <si>
    <t>حي المجاهد تبسبست تقرت</t>
  </si>
  <si>
    <t>100090032022670006</t>
  </si>
  <si>
    <t>0E6d305028</t>
  </si>
  <si>
    <t>takwindz_files/photo_path/PhotoID_36_b35bb0bb-1cd4-4cbe-ade6-05e9120157d8.jpg</t>
  </si>
  <si>
    <t>takwindz_files/certscol_path/certscol_36_86558de0-c00a-4d1e-adeb-d1f5f890299b.pdf</t>
  </si>
  <si>
    <t>2026-09-14 12:10:28</t>
  </si>
  <si>
    <t>عزيزي</t>
  </si>
  <si>
    <t>لقمان</t>
  </si>
  <si>
    <t>AZIZI</t>
  </si>
  <si>
    <t>Lokmane</t>
  </si>
  <si>
    <t>29/05/2009</t>
  </si>
  <si>
    <t>azizilokman462@gmail.com</t>
  </si>
  <si>
    <t>0654446403</t>
  </si>
  <si>
    <t>محمد إسماعيل</t>
  </si>
  <si>
    <t>بن زينة</t>
  </si>
  <si>
    <t>فاطمة الزهرة</t>
  </si>
  <si>
    <t>كتلة 45 رقم 15 تبسبست</t>
  </si>
  <si>
    <t>100091096003940000</t>
  </si>
  <si>
    <t>awgO690643</t>
  </si>
  <si>
    <t>2026-09-30 08:37:55</t>
  </si>
  <si>
    <t>مجوجة</t>
  </si>
  <si>
    <t>عبد الرحمان</t>
  </si>
  <si>
    <t>medjoudja2009@gmail.com</t>
  </si>
  <si>
    <t>0553875115</t>
  </si>
  <si>
    <t>كتلة 69 تبسبست</t>
  </si>
  <si>
    <t>100091096008700003</t>
  </si>
  <si>
    <t>Wo1I623739</t>
  </si>
  <si>
    <t>takwindz_files/photo_path/PhotoID_36_855b4cae-adb4-4b6c-a7fc-4a099d76e0ce.jpg</t>
  </si>
  <si>
    <t>takwindz_files/certificat_medical_path/certificat_medical_36_65bf8699-d947-47a9-85c7-e27a3663ec15.pdf</t>
  </si>
  <si>
    <t>2026-09-28 10:56:15</t>
  </si>
  <si>
    <t>بلوزي</t>
  </si>
  <si>
    <t>blouziw@gmail.com</t>
  </si>
  <si>
    <t>0673167918</t>
  </si>
  <si>
    <t>حي الورود الزاوية العابدية</t>
  </si>
  <si>
    <t>100091097003670001</t>
  </si>
  <si>
    <t>3UPF622322</t>
  </si>
  <si>
    <t>takwindz_files/photo_path/PhotoID_36_e94c6720-5636-45cd-9297-dfde2268256a.jpg</t>
  </si>
  <si>
    <t>takwindz_files/certificat_medical_path/certificat_medical_36_859f2978-016a-4859-9add-6d7cadd5f93b.pdf</t>
  </si>
  <si>
    <t>takwindz_files/certscol_path/certscol_36_86763471-9a96-45d8-855a-c4156dcac36e.pdf</t>
  </si>
  <si>
    <t>2026-09-28 10:30:13</t>
  </si>
  <si>
    <t>محمد اكرم</t>
  </si>
  <si>
    <t>amanikarim977@gmail.com</t>
  </si>
  <si>
    <t>0665311812</t>
  </si>
  <si>
    <t>حي 5 جويبية الزاوية العابدية</t>
  </si>
  <si>
    <t>100091098000270001</t>
  </si>
  <si>
    <t>E1Br367222</t>
  </si>
  <si>
    <t>takwindz_files/photo_path/PhotoID_36_9613ad80-fc85-4a76-b8fe-99e58d83b414.jpg</t>
  </si>
  <si>
    <t>takwindz_files/certificat_medical_path/certificat_medical_36_81ef22d3-0ce5-4d22-9aa6-e720f1ff91bd.pdf</t>
  </si>
  <si>
    <t>takwindz_files/certscol_path/certscol_36_3f72391a-68be-4a9b-92a3-bab747e0ebfc.pdf</t>
  </si>
  <si>
    <t>2026-09-17 12:17:28</t>
  </si>
  <si>
    <t>مقنش</t>
  </si>
  <si>
    <t>bzbnb16@gmail.com</t>
  </si>
  <si>
    <t>0663780634</t>
  </si>
  <si>
    <t>حي 05 جويلية الزاوية العابدية تقرت</t>
  </si>
  <si>
    <t>100091098000850000</t>
  </si>
  <si>
    <t>y1RM560296</t>
  </si>
  <si>
    <t>takwindz_files/photo_path/PhotoID_36_ac5ae306-f15d-4d88-9dfa-bcfc3b73283e.jpg</t>
  </si>
  <si>
    <t>takwindz_files/certificat_medical_path/certificat_medical_36_459af6d9-ddbe-4f0a-9f88-a6081435507d.pdf</t>
  </si>
  <si>
    <t>takwindz_files/certscol_path/certscol_36_95b19ed7-8959-49e8-ac0c-571ecbeaeb29.pdf</t>
  </si>
  <si>
    <t>2026-09-25 20:57:02</t>
  </si>
  <si>
    <t>نوي</t>
  </si>
  <si>
    <t>سليم</t>
  </si>
  <si>
    <t>salimnaoui55@gmail.com</t>
  </si>
  <si>
    <t>0561756081</t>
  </si>
  <si>
    <t>100091098002080002</t>
  </si>
  <si>
    <t>bGFJ159294</t>
  </si>
  <si>
    <t>takwindz_files/photo_path/PhotoID_36_9adf876d-56ad-4618-a2d7-dbe08ebc16e2.jpg</t>
  </si>
  <si>
    <t>takwindz_files/certificat_medical_path/certificat_medical_36_ee636e07-d5d2-4df6-accf-33a7c267ca56.pdf</t>
  </si>
  <si>
    <t>2026-08-25 22:02:58</t>
  </si>
  <si>
    <t>عبد الحق</t>
  </si>
  <si>
    <t>HANNOUNA</t>
  </si>
  <si>
    <t>Abdelhak</t>
  </si>
  <si>
    <t>19/06/2009</t>
  </si>
  <si>
    <t>abdalhakhannouna@gmail.com</t>
  </si>
  <si>
    <t>0655720972</t>
  </si>
  <si>
    <t>عبد الناصر بن محمد</t>
  </si>
  <si>
    <t>صولي</t>
  </si>
  <si>
    <t>حليمه بنت محمد</t>
  </si>
  <si>
    <t>حي السلام الزاوية العابدية</t>
  </si>
  <si>
    <t>100091098002500009</t>
  </si>
  <si>
    <t>HtSR337097</t>
  </si>
  <si>
    <t>takwindz_files/photo_path/PhotoID_36_af6ba1df-9bdf-45aa-bd4a-f3aa299c0fda.jpeg</t>
  </si>
  <si>
    <t>takwindz_files/certificat_medical_path/certificat_medical_36_67bb702d-023a-4ea7-80c5-81ad7c7e4aa4.pdf</t>
  </si>
  <si>
    <t>takwindz_files/certscol_path/certscol_36_319da07e-2c6f-4c65-93c9-788df4c1bb3c.pdf</t>
  </si>
  <si>
    <t>2026-09-15 21:39:54</t>
  </si>
  <si>
    <t>sayfesayfe925@gmail.com</t>
  </si>
  <si>
    <t>0666803760</t>
  </si>
  <si>
    <t>100101097003440007</t>
  </si>
  <si>
    <t>I9Ju404001</t>
  </si>
  <si>
    <t>takwindz_files/photo_path/PhotoID_36_ab736c2d-50b1-4fda-90d7-2f7b279fe9e6.jpg</t>
  </si>
  <si>
    <t>takwindz_files/certificat_medical_path/certificat_medical_36_29d40e59-ee0f-44b4-9230-8eac781cccc1.pdf</t>
  </si>
  <si>
    <t>takwindz_files/certscol_path/certscol_36_0586dd0b-3ade-4a44-b1dc-0f4810e92315.pdf</t>
  </si>
  <si>
    <t>2026-09-20 11:44:05</t>
  </si>
  <si>
    <t>محمد</t>
  </si>
  <si>
    <t>nm0562494227@gmail.com</t>
  </si>
  <si>
    <t>0562494227</t>
  </si>
  <si>
    <t>حي 05 جويلية</t>
  </si>
  <si>
    <t>100101098001770007</t>
  </si>
  <si>
    <t>Wvxk477281</t>
  </si>
  <si>
    <t>takwindz_files/photo_path/PhotoID_36_c02eb568-41cc-4938-9001-36667d74d5fe.jpg</t>
  </si>
  <si>
    <t>takwindz_files/certificat_medical_path/certificat_medical_36_c7571ded-5c84-4608-9406-bb4ef6b47f68.pdf</t>
  </si>
  <si>
    <t>takwindz_files/certscol_path/certscol_36_7cc85ffb-f6c7-4f5b-8a11-f98c82a84aeb.pdf</t>
  </si>
  <si>
    <t>2026-09-23 08:41:55</t>
  </si>
  <si>
    <t>القني</t>
  </si>
  <si>
    <t>محمد حبيب الرحمان</t>
  </si>
  <si>
    <t>fouzigouni@gmail.com</t>
  </si>
  <si>
    <t>0657502830</t>
  </si>
  <si>
    <t>100101105002940008</t>
  </si>
  <si>
    <t>عبد الجبار</t>
  </si>
  <si>
    <t xml:space="preserve">مزرقط </t>
  </si>
  <si>
    <t>0672627122</t>
  </si>
  <si>
    <t>ش.ك.م | CAP</t>
  </si>
  <si>
    <t>zpij699416</t>
  </si>
  <si>
    <t>2026-09-30 11:34:39</t>
  </si>
  <si>
    <t>منال</t>
  </si>
  <si>
    <t>vhhcyg491@gmail.com</t>
  </si>
  <si>
    <t>0663397328</t>
  </si>
  <si>
    <t>110081098004900000</t>
  </si>
  <si>
    <t>bfqb756385</t>
  </si>
  <si>
    <t>2026-10-04 10:26:34</t>
  </si>
  <si>
    <t>الزهرة</t>
  </si>
  <si>
    <t>guemmou2009@gmail.com</t>
  </si>
  <si>
    <t>0697960711</t>
  </si>
  <si>
    <t>كتلة 38 رقم 14</t>
  </si>
  <si>
    <t>110091098000600008</t>
  </si>
  <si>
    <t>t857245155</t>
  </si>
  <si>
    <t>2026-09-09 09:28:48</t>
  </si>
  <si>
    <t>بن نونه</t>
  </si>
  <si>
    <t>ساره</t>
  </si>
  <si>
    <t>BENNOUNA</t>
  </si>
  <si>
    <t>Sara</t>
  </si>
  <si>
    <t>02/04/2009</t>
  </si>
  <si>
    <t>mom.nokc546467@gmail.vom</t>
  </si>
  <si>
    <t>0655058948</t>
  </si>
  <si>
    <t>حسين بن محمد العربي</t>
  </si>
  <si>
    <t>جميله بنت السعيد</t>
  </si>
  <si>
    <t>110091098001450007</t>
  </si>
  <si>
    <t>kOJS386519</t>
  </si>
  <si>
    <t>takwindz_files/photo_path/PhotoID_36_f5e79ee6-ec44-4d8c-92ce-5f4aadc01e1c.jpg</t>
  </si>
  <si>
    <t>takwindz_files/certificat_medical_path/certificat_medical_36_601aa5a8-627c-4b61-971c-2a1422c1e03f.pdf</t>
  </si>
  <si>
    <t>takwindz_files/certscol_path/certscol_36_9259efaf-b8d0-4c76-bd91-2a0acf70e700.pdf</t>
  </si>
  <si>
    <t>2026-09-19 10:01:13</t>
  </si>
  <si>
    <t>عيساني</t>
  </si>
  <si>
    <t>انوار</t>
  </si>
  <si>
    <t>ysanyanwr0@gmail.com</t>
  </si>
  <si>
    <t>0658843995</t>
  </si>
  <si>
    <t>110091098001930008</t>
  </si>
  <si>
    <t>HaKK652070</t>
  </si>
  <si>
    <t>2026-09-29 10:22:07</t>
  </si>
  <si>
    <t>maria@2009gmail.com</t>
  </si>
  <si>
    <t>حي 5جويلية</t>
  </si>
  <si>
    <t>110091099002200003</t>
  </si>
  <si>
    <t>Ju992396</t>
  </si>
  <si>
    <t>takwindz_files/photo_path/PhotoID_36_b096de0c-82b4-4b66-90d3-463435495ebc.jpg</t>
  </si>
  <si>
    <t>takwindz_files/certificat_medical_path/certificat_medical_36_c95632fa-38a2-4bd0-a3b0-cf46a707869a.pdf</t>
  </si>
  <si>
    <t>takwindz_files/certscol_path/certscol_36_022e6253-5f11-4c97-a098-fdf8cd2e7d3e.pdf</t>
  </si>
  <si>
    <t>2026-08-08 13:51:38</t>
  </si>
  <si>
    <t>دحمان</t>
  </si>
  <si>
    <t>BOUCHANDOUKA</t>
  </si>
  <si>
    <t>Dahmane</t>
  </si>
  <si>
    <t>05/07/2001</t>
  </si>
  <si>
    <t>dahmanebouchandouka2001@gmail.com</t>
  </si>
  <si>
    <t>0652200473</t>
  </si>
  <si>
    <t>عبد القادر</t>
  </si>
  <si>
    <t>null</t>
  </si>
  <si>
    <t>100011098002270006</t>
  </si>
  <si>
    <t>ANXF67099</t>
  </si>
  <si>
    <t>takwindz_files/photo_path/PhotoID_36_f4b7a797-0191-4393-beb6-f0451447305d.jpg</t>
  </si>
  <si>
    <t>takwindz_files/certificat_medical_path/certificat_medical_36_7a8eb4a9-7534-407f-b703-48cbf76c9889.pdf</t>
  </si>
  <si>
    <t>takwindz_files/certscol_path/certscol_36_b4ee3a59-3f10-4be5-b0a8-a56abce0f6bc.pdf</t>
  </si>
  <si>
    <t>2026-08-12 13:44:04</t>
  </si>
  <si>
    <t>مهدي</t>
  </si>
  <si>
    <t>أحمد</t>
  </si>
  <si>
    <t>MEHDI</t>
  </si>
  <si>
    <t>Ahmed</t>
  </si>
  <si>
    <t>28/03/2001</t>
  </si>
  <si>
    <t>mehdikhireddine35@gmail.com</t>
  </si>
  <si>
    <t>0556913603</t>
  </si>
  <si>
    <t>محمدالناصربن أحمد</t>
  </si>
  <si>
    <t>بومدين</t>
  </si>
  <si>
    <t>العالية</t>
  </si>
  <si>
    <t>100011099002980008</t>
  </si>
  <si>
    <t>wo5L477133</t>
  </si>
  <si>
    <t>takwindz_files/photo_path/PhotoID_36_e6c6ddef-637f-4b96-9d08-4b6e76fa522f.jpg</t>
  </si>
  <si>
    <t>takwindz_files/certificat_medical_path/certificat_medical_36_bf9fe5f0-dc3f-4aa6-82a9-13bce193f6df.pdf</t>
  </si>
  <si>
    <t>2026-09-23 08:34:56</t>
  </si>
  <si>
    <t>بن زازه</t>
  </si>
  <si>
    <t>عبد الكريم</t>
  </si>
  <si>
    <t>BENZAZA</t>
  </si>
  <si>
    <t>Abdelkrim</t>
  </si>
  <si>
    <t>21/03/2004</t>
  </si>
  <si>
    <t>karimrimzazakarim@gmail.com</t>
  </si>
  <si>
    <t>0777214434</t>
  </si>
  <si>
    <t>احمد بن محمد الاخضر</t>
  </si>
  <si>
    <t>خذيري</t>
  </si>
  <si>
    <t>فطيمه بنت علي</t>
  </si>
  <si>
    <t>حي اللويبد</t>
  </si>
  <si>
    <t>100041102002030008</t>
  </si>
  <si>
    <t>Q6Va184194</t>
  </si>
  <si>
    <t>takwindz_files/photo_path/PhotoID_36_00e152d3-7f87-4674-b468-30481be33f12.jpg</t>
  </si>
  <si>
    <t>takwindz_files/certificat_medical_path/certificat_medical_36_b2f89435-b91a-4168-b56d-299ec3228cc9.pdf</t>
  </si>
  <si>
    <t>takwindz_files/certscol_path/certscol_36_24c204ed-c21e-41f6-be00-415a4d06b58c.pdf</t>
  </si>
  <si>
    <t>2026-08-31 10:42:29</t>
  </si>
  <si>
    <t>سلفاوي</t>
  </si>
  <si>
    <t>SELFAOUI</t>
  </si>
  <si>
    <t>Abdeldjebar</t>
  </si>
  <si>
    <t>10/12/2005</t>
  </si>
  <si>
    <t>بني أسود</t>
  </si>
  <si>
    <t>amineselfaoui16@gmail.com</t>
  </si>
  <si>
    <t>0655419496</t>
  </si>
  <si>
    <t>محمد بوعزيز</t>
  </si>
  <si>
    <t>فاطمة</t>
  </si>
  <si>
    <t>حي الفتح بتبسبست</t>
  </si>
  <si>
    <t>100051096007950003</t>
  </si>
  <si>
    <t>يمينة</t>
  </si>
  <si>
    <t>shD2472920</t>
  </si>
  <si>
    <t>takwindz_files/photo_path/PhotoID_36_e37390d0-658f-44fa-87c0-1ab2ce020561.jpg</t>
  </si>
  <si>
    <t>2026-09-22 21:03:36</t>
  </si>
  <si>
    <t>بالحسين</t>
  </si>
  <si>
    <t>عثمان</t>
  </si>
  <si>
    <t>BELHOCINE</t>
  </si>
  <si>
    <t>Othmane</t>
  </si>
  <si>
    <t>09/12/2006</t>
  </si>
  <si>
    <t>othmanebel2006@gmail.com</t>
  </si>
  <si>
    <t>0668627690</t>
  </si>
  <si>
    <t>محمد رضا بن عبدالله</t>
  </si>
  <si>
    <t>بن لعمودي</t>
  </si>
  <si>
    <t>ميمية بنت محمد</t>
  </si>
  <si>
    <t>عين الصحراء النزلة</t>
  </si>
  <si>
    <t>100061099012920001</t>
  </si>
  <si>
    <t>a7yR679413</t>
  </si>
  <si>
    <t>2026-09-29 19:23:20</t>
  </si>
  <si>
    <t>غيلاني</t>
  </si>
  <si>
    <t>محمد شاكر الله</t>
  </si>
  <si>
    <t>GHILANI</t>
  </si>
  <si>
    <t>Mohammed Chaker Allak</t>
  </si>
  <si>
    <t>28/12/2006</t>
  </si>
  <si>
    <t>chakerghilani18@gmail.com</t>
  </si>
  <si>
    <t>0664874456</t>
  </si>
  <si>
    <t>محمد فيصل بن عبد الحميد</t>
  </si>
  <si>
    <t>بدوي</t>
  </si>
  <si>
    <t>هجيرة بنت أحمد</t>
  </si>
  <si>
    <t>100061099013650003</t>
  </si>
  <si>
    <t>Rues446305</t>
  </si>
  <si>
    <t>2026-09-21 18:44:53</t>
  </si>
  <si>
    <t>بوكلبة</t>
  </si>
  <si>
    <t>عبد  الواجد</t>
  </si>
  <si>
    <t>BOUKELBA</t>
  </si>
  <si>
    <t>Abdelouadjad</t>
  </si>
  <si>
    <t>24/07/2007</t>
  </si>
  <si>
    <t>thoore43@gmail.com</t>
  </si>
  <si>
    <t>0541971907</t>
  </si>
  <si>
    <t>سالم</t>
  </si>
  <si>
    <t>زنو</t>
  </si>
  <si>
    <t>ناجية</t>
  </si>
  <si>
    <t>100071096004640009</t>
  </si>
  <si>
    <t>S9PZ543466</t>
  </si>
  <si>
    <t>takwindz_files/photo_path/PhotoID_36_29f50ad7-a932-4ee4-b669-ea758ce63508.jpg</t>
  </si>
  <si>
    <t>takwindz_files/certificat_medical_path/certificat_medical_36_88fe1728-3c89-42ed-b513-3f0043603d54.pdf</t>
  </si>
  <si>
    <t>takwindz_files/certscol_path/certscol_36_35a95f74-9faf-4c0c-98de-aeee32e17821.pdf</t>
  </si>
  <si>
    <t>2026-09-24 17:59:35</t>
  </si>
  <si>
    <t>بن شنة</t>
  </si>
  <si>
    <t>BENCHENNA</t>
  </si>
  <si>
    <t>Khaled</t>
  </si>
  <si>
    <t>25/07/2007</t>
  </si>
  <si>
    <t>kkhaledtop795@gmail.com</t>
  </si>
  <si>
    <t>0797397228</t>
  </si>
  <si>
    <t>مسعود</t>
  </si>
  <si>
    <t>بن سعدي</t>
  </si>
  <si>
    <t>مباركة</t>
  </si>
  <si>
    <t>كتلة 321 رقم 09 عين الصحراء النزلة</t>
  </si>
  <si>
    <t>100071097007820002</t>
  </si>
  <si>
    <t>QSSJ726281</t>
  </si>
  <si>
    <t>takwindz_files/photo_path/PhotoID_36_22681f90-9346-421c-9175-dad58bb90511.jpg</t>
  </si>
  <si>
    <t>takwindz_files/certificat_medical_path/certificat_medical_36_fa2ce4a7-36ee-4948-898f-69a63fa29a27.pdf</t>
  </si>
  <si>
    <t>takwindz_files/certscol_path/certscol_36_a32b05a3-27ae-4599-82eb-06e2c36d02f8.pdf</t>
  </si>
  <si>
    <t>2026-09-30 19:21:19</t>
  </si>
  <si>
    <t>نورالدين</t>
  </si>
  <si>
    <t>Nour Eddine</t>
  </si>
  <si>
    <t>16/06/2007</t>
  </si>
  <si>
    <t>hhghhccc129@gmail.com</t>
  </si>
  <si>
    <t>0562152327</t>
  </si>
  <si>
    <t>التجاني بن علي</t>
  </si>
  <si>
    <t>بكاري</t>
  </si>
  <si>
    <t>حياة بنت الصغير</t>
  </si>
  <si>
    <t>100071098002680003</t>
  </si>
  <si>
    <t>1Hsn691398</t>
  </si>
  <si>
    <t>2026-09-30 09:04:33</t>
  </si>
  <si>
    <t>وقاد</t>
  </si>
  <si>
    <t>محمد ضياء الدين</t>
  </si>
  <si>
    <t>OUGGAD</t>
  </si>
  <si>
    <t>Mohammed Dhia Eddine</t>
  </si>
  <si>
    <t>13/05/2007</t>
  </si>
  <si>
    <t>mohammedouggad2007@gmail.com</t>
  </si>
  <si>
    <t>0542945786</t>
  </si>
  <si>
    <t>حشاني بن محمد</t>
  </si>
  <si>
    <t>لموشي</t>
  </si>
  <si>
    <t>فتيحة</t>
  </si>
  <si>
    <t>حي بومرداس الطيبات</t>
  </si>
  <si>
    <t>100071099005650001</t>
  </si>
  <si>
    <t>7JVz745448</t>
  </si>
  <si>
    <t>takwindz_files/photo_path/PhotoID_36_44c9c86b-ce30-4cda-8288-70b70426795e.jpg</t>
  </si>
  <si>
    <t>takwindz_files/certificat_medical_path/certificat_medical_36_85d68754-0082-4358-a78a-a195a993ef69.pdf</t>
  </si>
  <si>
    <t>takwindz_files/certscol_path/certscol_36_0fca36d0-4e4a-4d4b-8fe4-c2c4bcbfde58.pdf</t>
  </si>
  <si>
    <t>2026-10-01 16:35:18</t>
  </si>
  <si>
    <t>زياد</t>
  </si>
  <si>
    <t>GHOUINI</t>
  </si>
  <si>
    <t>Ziad</t>
  </si>
  <si>
    <t>20/09/2008</t>
  </si>
  <si>
    <t>zizoghouini1@gmail.com</t>
  </si>
  <si>
    <t>0561532478</t>
  </si>
  <si>
    <t>بشير</t>
  </si>
  <si>
    <t>عيشور</t>
  </si>
  <si>
    <t>كريمة ياسمينه</t>
  </si>
  <si>
    <t>حي البدوعات تبسبست</t>
  </si>
  <si>
    <t>100081096006810004</t>
  </si>
  <si>
    <t>S2pL257487</t>
  </si>
  <si>
    <t>takwindz_files/photo_path/PhotoID_36_78807c37-d86d-45fe-ac0d-11f616dab20e.jpg</t>
  </si>
  <si>
    <t>takwindz_files/certificat_medical_path/certificat_medical_36_1bcc9ac5-e017-4e7e-a986-b1c9192a1f4b.pdf</t>
  </si>
  <si>
    <t>takwindz_files/certscol_path/certscol_36_ae0a5e03-d4f6-401f-8dad-7630290d457b.pdf</t>
  </si>
  <si>
    <t>2026-09-10 07:49:01</t>
  </si>
  <si>
    <t>طرية</t>
  </si>
  <si>
    <t>اسحاق</t>
  </si>
  <si>
    <t>TRYA</t>
  </si>
  <si>
    <t>Ishak</t>
  </si>
  <si>
    <t>26/11/2008</t>
  </si>
  <si>
    <t>tryashaq22@gmail.com</t>
  </si>
  <si>
    <t>0697174853</t>
  </si>
  <si>
    <t>الحسين</t>
  </si>
  <si>
    <t>بختة</t>
  </si>
  <si>
    <t>آسية</t>
  </si>
  <si>
    <t>حي الفتح تبسبست</t>
  </si>
  <si>
    <t>100081096008850008</t>
  </si>
  <si>
    <t>bCNO213307</t>
  </si>
  <si>
    <t>takwindz_files/photo_path/PhotoID_36_a0003a07-e47e-4ef8-a37f-485775f9c499.jpg</t>
  </si>
  <si>
    <t>takwindz_files/certificat_medical_path/certificat_medical_36_d69f5a7e-781e-4451-ae24-ad391f66f2e3.pdf</t>
  </si>
  <si>
    <t>takwindz_files/certscol_path/certscol_36_7cdff17d-81e5-48e0-a264-a2a04bb37c67.pdf</t>
  </si>
  <si>
    <t>2026-09-05 13:07:08</t>
  </si>
  <si>
    <t>التهامي</t>
  </si>
  <si>
    <t>منتصر بالله</t>
  </si>
  <si>
    <t>TIHAMI</t>
  </si>
  <si>
    <t>Montser Billah</t>
  </si>
  <si>
    <t>03/01/2008</t>
  </si>
  <si>
    <t>montaser8@yopmail.com</t>
  </si>
  <si>
    <t>0655917606</t>
  </si>
  <si>
    <t>رضا</t>
  </si>
  <si>
    <t>حدو</t>
  </si>
  <si>
    <t>راضية</t>
  </si>
  <si>
    <t>100081097000080008</t>
  </si>
  <si>
    <t>2Qdh164986</t>
  </si>
  <si>
    <t>takwindz_files/photo_path/PhotoID_36_080bf4ab-c6da-4f85-bacc-56454aa2a4da.jpg</t>
  </si>
  <si>
    <t>takwindz_files/certificat_medical_path/certificat_medical_36_47e1cf4e-2426-4218-953f-8907e6a29ffe.pdf</t>
  </si>
  <si>
    <t>takwindz_files/certscol_path/certscol_36_13d8b24b-4423-4ced-af68-38ebe40e5e7d.pdf</t>
  </si>
  <si>
    <t>2026-08-26 20:07:57</t>
  </si>
  <si>
    <t>جمل</t>
  </si>
  <si>
    <t>صابر</t>
  </si>
  <si>
    <t>DJEMEL</t>
  </si>
  <si>
    <t>Saber</t>
  </si>
  <si>
    <t>sabrsbry396@gmail.com</t>
  </si>
  <si>
    <t>0655660743</t>
  </si>
  <si>
    <t>العربي</t>
  </si>
  <si>
    <t>غندير</t>
  </si>
  <si>
    <t>100081097010340004</t>
  </si>
  <si>
    <t>95kl213484</t>
  </si>
  <si>
    <t>takwindz_files/photo_path/PhotoID_36_b2820b79-fe4e-48ac-8c9b-15895347c842.jpg</t>
  </si>
  <si>
    <t>takwindz_files/certificat_medical_path/certificat_medical_36_f461ece4-6d5e-4c1f-87aa-8e6a6fb4ef44.pdf</t>
  </si>
  <si>
    <t>takwindz_files/certscol_path/certscol_36_3a5e76fe-afb8-4788-a2ba-42d5a3017b74.pdf</t>
  </si>
  <si>
    <t>2026-09-05 13:50:58</t>
  </si>
  <si>
    <t>أبوبكر</t>
  </si>
  <si>
    <t>Aboubakeur</t>
  </si>
  <si>
    <t>13/12/2008</t>
  </si>
  <si>
    <t>boubakr@yopmail.com</t>
  </si>
  <si>
    <t>0665475344</t>
  </si>
  <si>
    <t>حياة</t>
  </si>
  <si>
    <t>100081097013730003</t>
  </si>
  <si>
    <t>O8t2585261</t>
  </si>
  <si>
    <t>takwindz_files/photo_path/PhotoID_36_61c5b821-840b-4b9d-b7af-b7d692b01ad1.jpg</t>
  </si>
  <si>
    <t>takwindz_files/certificat_medical_path/certificat_medical_36_6027299c-e8b3-4d14-87c6-55c52e4e0d19.pdf</t>
  </si>
  <si>
    <t>takwindz_files/certscol_path/certscol_36_9f2ac789-3923-47f1-987d-7dbbbe4db5bf.pdf</t>
  </si>
  <si>
    <t>2026-09-26 20:35:45</t>
  </si>
  <si>
    <t>BENHANIA</t>
  </si>
  <si>
    <t>29/04/2008</t>
  </si>
  <si>
    <t>ttetyy@gmail.com</t>
  </si>
  <si>
    <t>0675948203</t>
  </si>
  <si>
    <t>محمد الصالح بن عبد القادر</t>
  </si>
  <si>
    <t>بريك</t>
  </si>
  <si>
    <t>نعيمة بنت عبد العزيز</t>
  </si>
  <si>
    <t>حي 382 المستقبل تقرت</t>
  </si>
  <si>
    <t>100081098001400005</t>
  </si>
  <si>
    <t>aFuh657347</t>
  </si>
  <si>
    <t>2026-09-29 11:40:10</t>
  </si>
  <si>
    <t>غيابه</t>
  </si>
  <si>
    <t>أسامة</t>
  </si>
  <si>
    <t>GHIABA</t>
  </si>
  <si>
    <t>Oussama</t>
  </si>
  <si>
    <t>28/10/2008</t>
  </si>
  <si>
    <t>oussama55@gmail.com</t>
  </si>
  <si>
    <t>0558721248</t>
  </si>
  <si>
    <t>رشيد بن خالد</t>
  </si>
  <si>
    <t>تراكه</t>
  </si>
  <si>
    <t>عائشة بنت أحمد</t>
  </si>
  <si>
    <t>el mostakbel touggourt</t>
  </si>
  <si>
    <t>100081099012880003</t>
  </si>
  <si>
    <t>ySaP654626</t>
  </si>
  <si>
    <t>2026-09-29 11:03:05</t>
  </si>
  <si>
    <t>مناصرية</t>
  </si>
  <si>
    <t>mohmdmanassria@gmail.com</t>
  </si>
  <si>
    <t>0664263530</t>
  </si>
  <si>
    <t>كتلة 59رقم3 صحراوي العيد</t>
  </si>
  <si>
    <t>100091097013310002</t>
  </si>
  <si>
    <t>يرجى تحميل الملف</t>
  </si>
  <si>
    <t>B5vw232854</t>
  </si>
  <si>
    <t>takwindz_files/certscol_path/certscol_36_9625a257-c1c3-4998-ad97-851afd71d348.pdf</t>
  </si>
  <si>
    <t>2026-09-07 22:18:07</t>
  </si>
  <si>
    <t>بن رمضانه</t>
  </si>
  <si>
    <t>معتصم بالله</t>
  </si>
  <si>
    <t>BENRAMDANA</t>
  </si>
  <si>
    <t>Mouatassim BILLAH</t>
  </si>
  <si>
    <t>25/06/2009</t>
  </si>
  <si>
    <t>swmys3667@gmail.com</t>
  </si>
  <si>
    <t>0558976298</t>
  </si>
  <si>
    <t>محمد السعيد بن السعدي</t>
  </si>
  <si>
    <t>بن عقه</t>
  </si>
  <si>
    <t>زهيه بنت محمد</t>
  </si>
  <si>
    <t>كتلة 103 رقم 04 حي المنصور الزاوية العابدية</t>
  </si>
  <si>
    <t>100091098002660001</t>
  </si>
  <si>
    <t>xYYt544196</t>
  </si>
  <si>
    <t>takwindz_files/certificat_medical_path/certificat_medical_36_daa63d89-9ded-40ea-b6c2-abf915928ba2.pdf</t>
  </si>
  <si>
    <t>takwindz_files/certscol_path/certscol_36_d2994a51-3bea-4d68-b2ca-cb531c488077.pdf</t>
  </si>
  <si>
    <t>2026-09-24 18:20:10</t>
  </si>
  <si>
    <t>غولة</t>
  </si>
  <si>
    <t>طلحة</t>
  </si>
  <si>
    <t>المنيعة</t>
  </si>
  <si>
    <t>ghoula2009@gmail.com</t>
  </si>
  <si>
    <t>0696464032</t>
  </si>
  <si>
    <t>حي تبسبست تقرت</t>
  </si>
  <si>
    <t>100091492001620001</t>
  </si>
  <si>
    <t>2KpS317824</t>
  </si>
  <si>
    <t>takwindz_files/photo_path/PhotoID_36_225df9d3-1108-4e0c-b15a-ade0af3de938.jpg</t>
  </si>
  <si>
    <t>takwindz_files/certificat_medical_path/certificat_medical_36_ad030fa7-169c-4687-ac22-b19825ac92c7.pdf</t>
  </si>
  <si>
    <t>takwindz_files/certscol_path/certscol_36_2f31979f-788c-4bb1-8cb7-72a8778bb920.pdf</t>
  </si>
  <si>
    <t>2026-09-14 22:48:05</t>
  </si>
  <si>
    <t>حاج سعيد</t>
  </si>
  <si>
    <t>mrsatano4@gmail.com</t>
  </si>
  <si>
    <t>0540575696</t>
  </si>
  <si>
    <t>حي محمد خميستي 22 مسكن رقم 05</t>
  </si>
  <si>
    <t>109981099009170006</t>
  </si>
  <si>
    <t>كهرباء السيارات</t>
  </si>
  <si>
    <t xml:space="preserve"> عـامــــــل في الميكـــرو معلـوماتيـــة</t>
  </si>
  <si>
    <t>الطرز</t>
  </si>
  <si>
    <t>التركيب الصحي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</si>
</sst>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/mm/dd"/>
  </numFmts>
  <fonts count="17">
    <font>
      <sz val="11"/>
      <color theme="1"/>
      <name val="Arial"/>
      <family val="2"/>
      <charset val="178"/>
      <scheme val="minor"/>
    </font>
    <font>
      <sz val="14"/>
      <color theme="1"/>
      <name val="Arial"/>
      <family val="2"/>
      <charset val="178"/>
      <scheme val="minor"/>
    </font>
    <font>
      <sz val="14"/>
      <color theme="1"/>
      <name val="Adobe نسخ Medium"/>
      <family val="3"/>
    </font>
    <font>
      <sz val="14"/>
      <color theme="1"/>
      <name val="Arabic Typesetting"/>
      <family val="4"/>
    </font>
    <font>
      <b/>
      <sz val="14"/>
      <color theme="1"/>
      <name val="Arabic Typesetting"/>
      <family val="4"/>
    </font>
    <font>
      <sz val="10"/>
      <color theme="1"/>
      <name val="IDAutomationHC39M Free Version"/>
      <family val="1"/>
      <charset val="2"/>
    </font>
    <font>
      <b/>
      <sz val="10"/>
      <color theme="1"/>
      <name val="Times New Roman"/>
      <family val="1"/>
      <scheme val="major"/>
    </font>
    <font>
      <sz val="10"/>
      <color theme="1"/>
      <name val="Times New Roman"/>
      <family val="1"/>
      <scheme val="major"/>
    </font>
    <font>
      <b/>
      <sz val="22"/>
      <color theme="1"/>
      <name val="Times New Roman"/>
      <family val="1"/>
      <scheme val="major"/>
    </font>
    <font>
      <b/>
      <sz val="14"/>
      <color theme="1"/>
      <name val="Times New Roman"/>
      <family val="1"/>
      <scheme val="major"/>
    </font>
    <font>
      <sz val="12"/>
      <color theme="1"/>
      <name val="Arial"/>
      <family val="2"/>
      <charset val="178"/>
      <scheme val="minor"/>
    </font>
    <font>
      <b/>
      <sz val="12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sz val="7"/>
      <color theme="1"/>
      <name val="Times New Roman"/>
      <family val="1"/>
      <scheme val="major"/>
    </font>
    <font>
      <sz val="8"/>
      <color theme="1"/>
      <name val="Times New Roman"/>
      <family val="1"/>
      <scheme val="major"/>
    </font>
    <font>
      <sz val="12"/>
      <name val="Calibri"/>
    </font>
    <font>
      <b/>
      <sz val="11"/>
      <color rgb="FFFFAA00"/>
      <name val="Calibri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</borders>
  <cellStyleXfs count="2">
    <xf numFmtId="0" fontId="0" fillId="0" borderId="0"/>
    <xf numFmtId="0" fontId="15" fillId="0" borderId="0"/>
  </cellStyleXfs>
  <cellXfs count="47">
    <xf numFmtId="0" fontId="0" fillId="0" borderId="0" xfId="0"/>
    <xf numFmtId="0" fontId="1" fillId="0" borderId="0" xfId="0" applyFont="1"/>
    <xf numFmtId="0" fontId="3" fillId="0" borderId="0" xfId="0" applyFont="1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6" fillId="0" borderId="0" xfId="0" applyFont="1" applyAlignment="1">
      <alignment horizontal="right" vertical="center"/>
    </xf>
    <xf numFmtId="164" fontId="7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164" fontId="1" fillId="0" borderId="0" xfId="0" applyNumberFormat="1" applyFont="1" applyAlignment="1">
      <alignment vertical="center"/>
    </xf>
    <xf numFmtId="0" fontId="7" fillId="0" borderId="0" xfId="0" applyFont="1" applyAlignment="1">
      <alignment horizontal="right" vertical="center"/>
    </xf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2" borderId="7" xfId="0" applyFont="1" applyFill="1" applyBorder="1" applyAlignment="1">
      <alignment horizontal="right" vertical="center"/>
    </xf>
    <xf numFmtId="0" fontId="5" fillId="2" borderId="7" xfId="0" applyFont="1" applyFill="1" applyBorder="1" applyAlignment="1">
      <alignment vertical="center"/>
    </xf>
    <xf numFmtId="0" fontId="10" fillId="0" borderId="0" xfId="0" applyFont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7" fillId="0" borderId="0" xfId="0" applyFont="1" applyAlignment="1">
      <alignment vertical="center"/>
    </xf>
    <xf numFmtId="164" fontId="13" fillId="0" borderId="0" xfId="0" applyNumberFormat="1" applyFont="1" applyAlignment="1">
      <alignment vertical="center"/>
    </xf>
    <xf numFmtId="0" fontId="13" fillId="0" borderId="0" xfId="0" applyFont="1" applyAlignment="1">
      <alignment vertical="center"/>
    </xf>
    <xf numFmtId="0" fontId="10" fillId="3" borderId="0" xfId="0" applyFont="1" applyFill="1" applyAlignment="1">
      <alignment horizontal="center" vertical="center"/>
    </xf>
    <xf numFmtId="0" fontId="0" fillId="3" borderId="0" xfId="0" applyFill="1"/>
    <xf numFmtId="0" fontId="16" fillId="0" borderId="0" xfId="1" applyFont="1"/>
    <xf numFmtId="0" fontId="15" fillId="0" borderId="0" xfId="1"/>
    <xf numFmtId="14" fontId="15" fillId="0" borderId="0" xfId="1" applyNumberFormat="1"/>
    <xf numFmtId="0" fontId="15" fillId="4" borderId="0" xfId="1" applyFill="1"/>
    <xf numFmtId="14" fontId="15" fillId="4" borderId="0" xfId="1" applyNumberFormat="1" applyFill="1"/>
    <xf numFmtId="0" fontId="0" fillId="2" borderId="0" xfId="0" applyFill="1"/>
    <xf numFmtId="14" fontId="0" fillId="2" borderId="0" xfId="0" applyNumberFormat="1" applyFill="1"/>
    <xf numFmtId="0" fontId="7" fillId="0" borderId="0" xfId="0" applyFont="1" applyAlignment="1">
      <alignment horizontal="right" vertical="center"/>
    </xf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5" fillId="2" borderId="7" xfId="0" applyFont="1" applyFill="1" applyBorder="1" applyAlignment="1">
      <alignment horizontal="right" vertical="center"/>
    </xf>
    <xf numFmtId="0" fontId="14" fillId="0" borderId="0" xfId="0" applyFont="1" applyAlignment="1">
      <alignment horizontal="right" vertical="center"/>
    </xf>
    <xf numFmtId="164" fontId="1" fillId="0" borderId="0" xfId="0" applyNumberFormat="1" applyFont="1" applyAlignment="1">
      <alignment horizontal="center" vertical="center"/>
    </xf>
  </cellXfs>
  <cellStyles count="2">
    <cellStyle name="عادي" xfId="0" builtinId="0"/>
    <cellStyle name="عادي 2" xfId="1" xr:uid="{FE26D874-CA01-4F20-A133-712DAC58631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pin" dx="16" fmlaLink="$Q$4" inc="10" max="30000" min="1" page="1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370</xdr:row>
      <xdr:rowOff>0</xdr:rowOff>
    </xdr:from>
    <xdr:to>
      <xdr:col>10</xdr:col>
      <xdr:colOff>762000</xdr:colOff>
      <xdr:row>370</xdr:row>
      <xdr:rowOff>1028700</xdr:rowOff>
    </xdr:to>
    <xdr:pic>
      <xdr:nvPicPr>
        <xdr:cNvPr id="3" name="صورة 2">
          <a:extLst>
            <a:ext uri="{FF2B5EF4-FFF2-40B4-BE49-F238E27FC236}">
              <a16:creationId xmlns:a16="http://schemas.microsoft.com/office/drawing/2014/main" id="{9C301229-E3CB-30D9-68D4-93A4D388B4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39442850" y="383371725"/>
          <a:ext cx="76200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8</xdr:row>
      <xdr:rowOff>1038224</xdr:rowOff>
    </xdr:from>
    <xdr:to>
      <xdr:col>10</xdr:col>
      <xdr:colOff>781050</xdr:colOff>
      <xdr:row>9</xdr:row>
      <xdr:rowOff>1019174</xdr:rowOff>
    </xdr:to>
    <xdr:sp macro="" textlink="">
      <xdr:nvSpPr>
        <xdr:cNvPr id="1028" name="AutoShape 4">
          <a:extLst>
            <a:ext uri="{FF2B5EF4-FFF2-40B4-BE49-F238E27FC236}">
              <a16:creationId xmlns:a16="http://schemas.microsoft.com/office/drawing/2014/main" id="{61ACB768-E4DD-87F2-CA44-8B8C41ECFB3C}"/>
            </a:ext>
          </a:extLst>
        </xdr:cNvPr>
        <xdr:cNvSpPr>
          <a:spLocks noChangeAspect="1" noChangeArrowheads="1"/>
        </xdr:cNvSpPr>
      </xdr:nvSpPr>
      <xdr:spPr bwMode="auto">
        <a:xfrm>
          <a:off x="11232984900" y="8572499"/>
          <a:ext cx="781050" cy="1019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13</xdr:row>
      <xdr:rowOff>1038224</xdr:rowOff>
    </xdr:from>
    <xdr:to>
      <xdr:col>10</xdr:col>
      <xdr:colOff>781050</xdr:colOff>
      <xdr:row>14</xdr:row>
      <xdr:rowOff>1000124</xdr:rowOff>
    </xdr:to>
    <xdr:sp macro="" textlink="">
      <xdr:nvSpPr>
        <xdr:cNvPr id="1034" name="AutoShape 10">
          <a:extLst>
            <a:ext uri="{FF2B5EF4-FFF2-40B4-BE49-F238E27FC236}">
              <a16:creationId xmlns:a16="http://schemas.microsoft.com/office/drawing/2014/main" id="{559BF78D-7B14-3D21-9E41-E91EA46A0399}"/>
            </a:ext>
          </a:extLst>
        </xdr:cNvPr>
        <xdr:cNvSpPr>
          <a:spLocks noChangeAspect="1" noChangeArrowheads="1"/>
        </xdr:cNvSpPr>
      </xdr:nvSpPr>
      <xdr:spPr bwMode="auto">
        <a:xfrm>
          <a:off x="11232984900" y="14801849"/>
          <a:ext cx="781050" cy="1000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17</xdr:row>
      <xdr:rowOff>1038224</xdr:rowOff>
    </xdr:from>
    <xdr:to>
      <xdr:col>10</xdr:col>
      <xdr:colOff>771525</xdr:colOff>
      <xdr:row>18</xdr:row>
      <xdr:rowOff>1000124</xdr:rowOff>
    </xdr:to>
    <xdr:sp macro="" textlink="">
      <xdr:nvSpPr>
        <xdr:cNvPr id="1036" name="AutoShape 12">
          <a:extLst>
            <a:ext uri="{FF2B5EF4-FFF2-40B4-BE49-F238E27FC236}">
              <a16:creationId xmlns:a16="http://schemas.microsoft.com/office/drawing/2014/main" id="{CEEA59EE-B3A5-D826-DE92-90DE65880FD1}"/>
            </a:ext>
          </a:extLst>
        </xdr:cNvPr>
        <xdr:cNvSpPr>
          <a:spLocks noChangeAspect="1" noChangeArrowheads="1"/>
        </xdr:cNvSpPr>
      </xdr:nvSpPr>
      <xdr:spPr bwMode="auto">
        <a:xfrm>
          <a:off x="11232994425" y="17916524"/>
          <a:ext cx="771525" cy="1000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18</xdr:row>
      <xdr:rowOff>1038224</xdr:rowOff>
    </xdr:from>
    <xdr:to>
      <xdr:col>10</xdr:col>
      <xdr:colOff>762000</xdr:colOff>
      <xdr:row>19</xdr:row>
      <xdr:rowOff>1000124</xdr:rowOff>
    </xdr:to>
    <xdr:sp macro="" textlink="">
      <xdr:nvSpPr>
        <xdr:cNvPr id="1037" name="AutoShape 13">
          <a:extLst>
            <a:ext uri="{FF2B5EF4-FFF2-40B4-BE49-F238E27FC236}">
              <a16:creationId xmlns:a16="http://schemas.microsoft.com/office/drawing/2014/main" id="{07064FAF-B8F5-03BE-B6CB-4703A6C65EA3}"/>
            </a:ext>
          </a:extLst>
        </xdr:cNvPr>
        <xdr:cNvSpPr>
          <a:spLocks noChangeAspect="1" noChangeArrowheads="1"/>
        </xdr:cNvSpPr>
      </xdr:nvSpPr>
      <xdr:spPr bwMode="auto">
        <a:xfrm>
          <a:off x="11233003950" y="18954749"/>
          <a:ext cx="762000" cy="1000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24</xdr:row>
      <xdr:rowOff>0</xdr:rowOff>
    </xdr:from>
    <xdr:to>
      <xdr:col>10</xdr:col>
      <xdr:colOff>781050</xdr:colOff>
      <xdr:row>24</xdr:row>
      <xdr:rowOff>1009650</xdr:rowOff>
    </xdr:to>
    <xdr:sp macro="" textlink="">
      <xdr:nvSpPr>
        <xdr:cNvPr id="1042" name="AutoShape 18">
          <a:extLst>
            <a:ext uri="{FF2B5EF4-FFF2-40B4-BE49-F238E27FC236}">
              <a16:creationId xmlns:a16="http://schemas.microsoft.com/office/drawing/2014/main" id="{E4D84407-3970-4135-E32E-8CB8FE97196E}"/>
            </a:ext>
          </a:extLst>
        </xdr:cNvPr>
        <xdr:cNvSpPr>
          <a:spLocks noChangeAspect="1" noChangeArrowheads="1"/>
        </xdr:cNvSpPr>
      </xdr:nvSpPr>
      <xdr:spPr bwMode="auto">
        <a:xfrm>
          <a:off x="11232984900" y="24145875"/>
          <a:ext cx="781050" cy="1009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25</xdr:row>
      <xdr:rowOff>0</xdr:rowOff>
    </xdr:from>
    <xdr:to>
      <xdr:col>10</xdr:col>
      <xdr:colOff>771525</xdr:colOff>
      <xdr:row>25</xdr:row>
      <xdr:rowOff>1009650</xdr:rowOff>
    </xdr:to>
    <xdr:sp macro="" textlink="">
      <xdr:nvSpPr>
        <xdr:cNvPr id="1043" name="AutoShape 19">
          <a:extLst>
            <a:ext uri="{FF2B5EF4-FFF2-40B4-BE49-F238E27FC236}">
              <a16:creationId xmlns:a16="http://schemas.microsoft.com/office/drawing/2014/main" id="{A9439189-F2B6-1672-F33B-6784345F875B}"/>
            </a:ext>
          </a:extLst>
        </xdr:cNvPr>
        <xdr:cNvSpPr>
          <a:spLocks noChangeAspect="1" noChangeArrowheads="1"/>
        </xdr:cNvSpPr>
      </xdr:nvSpPr>
      <xdr:spPr bwMode="auto">
        <a:xfrm>
          <a:off x="11232994425" y="25184100"/>
          <a:ext cx="771525" cy="1009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25</xdr:row>
      <xdr:rowOff>1038224</xdr:rowOff>
    </xdr:from>
    <xdr:to>
      <xdr:col>10</xdr:col>
      <xdr:colOff>752475</xdr:colOff>
      <xdr:row>26</xdr:row>
      <xdr:rowOff>1000124</xdr:rowOff>
    </xdr:to>
    <xdr:sp macro="" textlink="">
      <xdr:nvSpPr>
        <xdr:cNvPr id="1044" name="AutoShape 20">
          <a:extLst>
            <a:ext uri="{FF2B5EF4-FFF2-40B4-BE49-F238E27FC236}">
              <a16:creationId xmlns:a16="http://schemas.microsoft.com/office/drawing/2014/main" id="{CB1B8E2A-AC5F-05AB-77E9-715E864FDFF2}"/>
            </a:ext>
          </a:extLst>
        </xdr:cNvPr>
        <xdr:cNvSpPr>
          <a:spLocks noChangeAspect="1" noChangeArrowheads="1"/>
        </xdr:cNvSpPr>
      </xdr:nvSpPr>
      <xdr:spPr bwMode="auto">
        <a:xfrm>
          <a:off x="11233013475" y="26222324"/>
          <a:ext cx="752475" cy="1000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28</xdr:row>
      <xdr:rowOff>1038224</xdr:rowOff>
    </xdr:from>
    <xdr:to>
      <xdr:col>10</xdr:col>
      <xdr:colOff>790575</xdr:colOff>
      <xdr:row>29</xdr:row>
      <xdr:rowOff>981074</xdr:rowOff>
    </xdr:to>
    <xdr:sp macro="" textlink="">
      <xdr:nvSpPr>
        <xdr:cNvPr id="1047" name="AutoShape 23">
          <a:extLst>
            <a:ext uri="{FF2B5EF4-FFF2-40B4-BE49-F238E27FC236}">
              <a16:creationId xmlns:a16="http://schemas.microsoft.com/office/drawing/2014/main" id="{C5ECE584-B0F5-E220-AD81-868EC8A7F4FB}"/>
            </a:ext>
          </a:extLst>
        </xdr:cNvPr>
        <xdr:cNvSpPr>
          <a:spLocks noChangeAspect="1" noChangeArrowheads="1"/>
        </xdr:cNvSpPr>
      </xdr:nvSpPr>
      <xdr:spPr bwMode="auto">
        <a:xfrm>
          <a:off x="11232975375" y="29336999"/>
          <a:ext cx="790575" cy="981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31</xdr:row>
      <xdr:rowOff>0</xdr:rowOff>
    </xdr:from>
    <xdr:to>
      <xdr:col>10</xdr:col>
      <xdr:colOff>771525</xdr:colOff>
      <xdr:row>31</xdr:row>
      <xdr:rowOff>1009650</xdr:rowOff>
    </xdr:to>
    <xdr:sp macro="" textlink="">
      <xdr:nvSpPr>
        <xdr:cNvPr id="1049" name="AutoShape 25">
          <a:extLst>
            <a:ext uri="{FF2B5EF4-FFF2-40B4-BE49-F238E27FC236}">
              <a16:creationId xmlns:a16="http://schemas.microsoft.com/office/drawing/2014/main" id="{D231BD4B-82BC-BDCB-6D32-A8EB9DB14359}"/>
            </a:ext>
          </a:extLst>
        </xdr:cNvPr>
        <xdr:cNvSpPr>
          <a:spLocks noChangeAspect="1" noChangeArrowheads="1"/>
        </xdr:cNvSpPr>
      </xdr:nvSpPr>
      <xdr:spPr bwMode="auto">
        <a:xfrm>
          <a:off x="11232994425" y="31413450"/>
          <a:ext cx="771525" cy="1009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31</xdr:row>
      <xdr:rowOff>1038224</xdr:rowOff>
    </xdr:from>
    <xdr:to>
      <xdr:col>10</xdr:col>
      <xdr:colOff>771525</xdr:colOff>
      <xdr:row>32</xdr:row>
      <xdr:rowOff>1000124</xdr:rowOff>
    </xdr:to>
    <xdr:sp macro="" textlink="">
      <xdr:nvSpPr>
        <xdr:cNvPr id="1050" name="AutoShape 26">
          <a:extLst>
            <a:ext uri="{FF2B5EF4-FFF2-40B4-BE49-F238E27FC236}">
              <a16:creationId xmlns:a16="http://schemas.microsoft.com/office/drawing/2014/main" id="{D3A628AE-CEF4-4E59-8AF0-B6DA597A4EB7}"/>
            </a:ext>
          </a:extLst>
        </xdr:cNvPr>
        <xdr:cNvSpPr>
          <a:spLocks noChangeAspect="1" noChangeArrowheads="1"/>
        </xdr:cNvSpPr>
      </xdr:nvSpPr>
      <xdr:spPr bwMode="auto">
        <a:xfrm>
          <a:off x="11232994425" y="32451674"/>
          <a:ext cx="771525" cy="1000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3</xdr:row>
      <xdr:rowOff>9525</xdr:rowOff>
    </xdr:from>
    <xdr:to>
      <xdr:col>4</xdr:col>
      <xdr:colOff>714375</xdr:colOff>
      <xdr:row>3</xdr:row>
      <xdr:rowOff>9526</xdr:rowOff>
    </xdr:to>
    <xdr:cxnSp macro="">
      <xdr:nvCxnSpPr>
        <xdr:cNvPr id="14" name="رابط مستقيم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/>
      </xdr:nvCxnSpPr>
      <xdr:spPr>
        <a:xfrm flipH="1">
          <a:off x="11231356125" y="495300"/>
          <a:ext cx="2085975" cy="1"/>
        </a:xfrm>
        <a:prstGeom prst="line">
          <a:avLst/>
        </a:prstGeom>
        <a:ln>
          <a:headEnd type="oval" w="med" len="med"/>
          <a:tailEnd type="oval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66675</xdr:colOff>
      <xdr:row>0</xdr:row>
      <xdr:rowOff>38100</xdr:rowOff>
    </xdr:from>
    <xdr:to>
      <xdr:col>5</xdr:col>
      <xdr:colOff>657225</xdr:colOff>
      <xdr:row>3</xdr:row>
      <xdr:rowOff>9525</xdr:rowOff>
    </xdr:to>
    <xdr:pic>
      <xdr:nvPicPr>
        <xdr:cNvPr id="16" name="صورة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2546750" y="38100"/>
          <a:ext cx="590550" cy="45720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3</xdr:row>
      <xdr:rowOff>0</xdr:rowOff>
    </xdr:from>
    <xdr:to>
      <xdr:col>11</xdr:col>
      <xdr:colOff>685799</xdr:colOff>
      <xdr:row>3</xdr:row>
      <xdr:rowOff>1</xdr:rowOff>
    </xdr:to>
    <xdr:cxnSp macro="">
      <xdr:nvCxnSpPr>
        <xdr:cNvPr id="24" name="رابط مستقيم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CxnSpPr/>
      </xdr:nvCxnSpPr>
      <xdr:spPr>
        <a:xfrm flipH="1">
          <a:off x="11227917601" y="485775"/>
          <a:ext cx="2095499" cy="1"/>
        </a:xfrm>
        <a:prstGeom prst="line">
          <a:avLst/>
        </a:prstGeom>
        <a:ln>
          <a:headEnd type="oval" w="med" len="med"/>
          <a:tailEnd type="oval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12</xdr:col>
      <xdr:colOff>66675</xdr:colOff>
      <xdr:row>0</xdr:row>
      <xdr:rowOff>38100</xdr:rowOff>
    </xdr:from>
    <xdr:ext cx="590550" cy="457200"/>
    <xdr:pic>
      <xdr:nvPicPr>
        <xdr:cNvPr id="25" name="صورة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2546750" y="38100"/>
          <a:ext cx="590550" cy="457200"/>
        </a:xfrm>
        <a:prstGeom prst="rect">
          <a:avLst/>
        </a:prstGeom>
      </xdr:spPr>
    </xdr:pic>
    <xdr:clientData/>
  </xdr:oneCellAnchor>
  <xdr:twoCellAnchor>
    <xdr:from>
      <xdr:col>1</xdr:col>
      <xdr:colOff>171450</xdr:colOff>
      <xdr:row>14</xdr:row>
      <xdr:rowOff>1</xdr:rowOff>
    </xdr:from>
    <xdr:to>
      <xdr:col>5</xdr:col>
      <xdr:colOff>0</xdr:colOff>
      <xdr:row>14</xdr:row>
      <xdr:rowOff>9525</xdr:rowOff>
    </xdr:to>
    <xdr:cxnSp macro="">
      <xdr:nvCxnSpPr>
        <xdr:cNvPr id="27" name="رابط مستقيم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CxnSpPr/>
      </xdr:nvCxnSpPr>
      <xdr:spPr>
        <a:xfrm flipH="1" flipV="1">
          <a:off x="11231251350" y="2476501"/>
          <a:ext cx="2133600" cy="9524"/>
        </a:xfrm>
        <a:prstGeom prst="line">
          <a:avLst/>
        </a:prstGeom>
        <a:ln>
          <a:headEnd type="oval" w="med" len="med"/>
          <a:tailEnd type="oval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66675</xdr:colOff>
      <xdr:row>11</xdr:row>
      <xdr:rowOff>38100</xdr:rowOff>
    </xdr:from>
    <xdr:ext cx="590550" cy="457200"/>
    <xdr:pic>
      <xdr:nvPicPr>
        <xdr:cNvPr id="28" name="صورة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0594125" y="38100"/>
          <a:ext cx="590550" cy="457200"/>
        </a:xfrm>
        <a:prstGeom prst="rect">
          <a:avLst/>
        </a:prstGeom>
      </xdr:spPr>
    </xdr:pic>
    <xdr:clientData/>
  </xdr:oneCellAnchor>
  <xdr:twoCellAnchor>
    <xdr:from>
      <xdr:col>8</xdr:col>
      <xdr:colOff>323850</xdr:colOff>
      <xdr:row>14</xdr:row>
      <xdr:rowOff>0</xdr:rowOff>
    </xdr:from>
    <xdr:to>
      <xdr:col>11</xdr:col>
      <xdr:colOff>685799</xdr:colOff>
      <xdr:row>14</xdr:row>
      <xdr:rowOff>1</xdr:rowOff>
    </xdr:to>
    <xdr:cxnSp macro="">
      <xdr:nvCxnSpPr>
        <xdr:cNvPr id="30" name="رابط مستقيم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CxnSpPr/>
      </xdr:nvCxnSpPr>
      <xdr:spPr>
        <a:xfrm flipH="1">
          <a:off x="11227917601" y="2476500"/>
          <a:ext cx="1914524" cy="1"/>
        </a:xfrm>
        <a:prstGeom prst="line">
          <a:avLst/>
        </a:prstGeom>
        <a:ln>
          <a:headEnd type="oval" w="med" len="med"/>
          <a:tailEnd type="oval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12</xdr:col>
      <xdr:colOff>66675</xdr:colOff>
      <xdr:row>11</xdr:row>
      <xdr:rowOff>38100</xdr:rowOff>
    </xdr:from>
    <xdr:ext cx="590550" cy="457200"/>
    <xdr:pic>
      <xdr:nvPicPr>
        <xdr:cNvPr id="31" name="صورة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27260375" y="38100"/>
          <a:ext cx="590550" cy="457200"/>
        </a:xfrm>
        <a:prstGeom prst="rect">
          <a:avLst/>
        </a:prstGeom>
      </xdr:spPr>
    </xdr:pic>
    <xdr:clientData/>
  </xdr:oneCellAnchor>
  <xdr:twoCellAnchor>
    <xdr:from>
      <xdr:col>1</xdr:col>
      <xdr:colOff>171450</xdr:colOff>
      <xdr:row>25</xdr:row>
      <xdr:rowOff>1</xdr:rowOff>
    </xdr:from>
    <xdr:to>
      <xdr:col>5</xdr:col>
      <xdr:colOff>0</xdr:colOff>
      <xdr:row>25</xdr:row>
      <xdr:rowOff>9525</xdr:rowOff>
    </xdr:to>
    <xdr:cxnSp macro="">
      <xdr:nvCxnSpPr>
        <xdr:cNvPr id="33" name="رابط مستقيم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CxnSpPr/>
      </xdr:nvCxnSpPr>
      <xdr:spPr>
        <a:xfrm flipH="1" flipV="1">
          <a:off x="11231251350" y="4467226"/>
          <a:ext cx="2133600" cy="9524"/>
        </a:xfrm>
        <a:prstGeom prst="line">
          <a:avLst/>
        </a:prstGeom>
        <a:ln>
          <a:headEnd type="oval" w="med" len="med"/>
          <a:tailEnd type="oval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66675</xdr:colOff>
      <xdr:row>22</xdr:row>
      <xdr:rowOff>38100</xdr:rowOff>
    </xdr:from>
    <xdr:ext cx="590550" cy="457200"/>
    <xdr:pic>
      <xdr:nvPicPr>
        <xdr:cNvPr id="34" name="صورة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0594125" y="38100"/>
          <a:ext cx="590550" cy="457200"/>
        </a:xfrm>
        <a:prstGeom prst="rect">
          <a:avLst/>
        </a:prstGeom>
      </xdr:spPr>
    </xdr:pic>
    <xdr:clientData/>
  </xdr:oneCellAnchor>
  <xdr:twoCellAnchor>
    <xdr:from>
      <xdr:col>8</xdr:col>
      <xdr:colOff>323850</xdr:colOff>
      <xdr:row>25</xdr:row>
      <xdr:rowOff>0</xdr:rowOff>
    </xdr:from>
    <xdr:to>
      <xdr:col>11</xdr:col>
      <xdr:colOff>685799</xdr:colOff>
      <xdr:row>25</xdr:row>
      <xdr:rowOff>1</xdr:rowOff>
    </xdr:to>
    <xdr:cxnSp macro="">
      <xdr:nvCxnSpPr>
        <xdr:cNvPr id="36" name="رابط مستقيم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CxnSpPr/>
      </xdr:nvCxnSpPr>
      <xdr:spPr>
        <a:xfrm flipH="1">
          <a:off x="11227917601" y="4467225"/>
          <a:ext cx="1914524" cy="1"/>
        </a:xfrm>
        <a:prstGeom prst="line">
          <a:avLst/>
        </a:prstGeom>
        <a:ln>
          <a:headEnd type="oval" w="med" len="med"/>
          <a:tailEnd type="oval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12</xdr:col>
      <xdr:colOff>66675</xdr:colOff>
      <xdr:row>22</xdr:row>
      <xdr:rowOff>38100</xdr:rowOff>
    </xdr:from>
    <xdr:ext cx="590550" cy="457200"/>
    <xdr:pic>
      <xdr:nvPicPr>
        <xdr:cNvPr id="37" name="صورة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27260375" y="38100"/>
          <a:ext cx="590550" cy="457200"/>
        </a:xfrm>
        <a:prstGeom prst="rect">
          <a:avLst/>
        </a:prstGeom>
      </xdr:spPr>
    </xdr:pic>
    <xdr:clientData/>
  </xdr:oneCellAnchor>
  <xdr:twoCellAnchor>
    <xdr:from>
      <xdr:col>1</xdr:col>
      <xdr:colOff>190500</xdr:colOff>
      <xdr:row>36</xdr:row>
      <xdr:rowOff>0</xdr:rowOff>
    </xdr:from>
    <xdr:to>
      <xdr:col>5</xdr:col>
      <xdr:colOff>0</xdr:colOff>
      <xdr:row>36</xdr:row>
      <xdr:rowOff>1</xdr:rowOff>
    </xdr:to>
    <xdr:cxnSp macro="">
      <xdr:nvCxnSpPr>
        <xdr:cNvPr id="39" name="رابط مستقيم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CxnSpPr/>
      </xdr:nvCxnSpPr>
      <xdr:spPr>
        <a:xfrm flipH="1">
          <a:off x="11231251350" y="6457950"/>
          <a:ext cx="2114550" cy="1"/>
        </a:xfrm>
        <a:prstGeom prst="line">
          <a:avLst/>
        </a:prstGeom>
        <a:ln>
          <a:headEnd type="oval" w="med" len="med"/>
          <a:tailEnd type="oval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66675</xdr:colOff>
      <xdr:row>33</xdr:row>
      <xdr:rowOff>38100</xdr:rowOff>
    </xdr:from>
    <xdr:ext cx="590550" cy="457200"/>
    <xdr:pic>
      <xdr:nvPicPr>
        <xdr:cNvPr id="40" name="صورة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0594125" y="4010025"/>
          <a:ext cx="590550" cy="457200"/>
        </a:xfrm>
        <a:prstGeom prst="rect">
          <a:avLst/>
        </a:prstGeom>
      </xdr:spPr>
    </xdr:pic>
    <xdr:clientData/>
  </xdr:oneCellAnchor>
  <xdr:twoCellAnchor>
    <xdr:from>
      <xdr:col>8</xdr:col>
      <xdr:colOff>323850</xdr:colOff>
      <xdr:row>36</xdr:row>
      <xdr:rowOff>0</xdr:rowOff>
    </xdr:from>
    <xdr:to>
      <xdr:col>11</xdr:col>
      <xdr:colOff>685799</xdr:colOff>
      <xdr:row>36</xdr:row>
      <xdr:rowOff>1</xdr:rowOff>
    </xdr:to>
    <xdr:cxnSp macro="">
      <xdr:nvCxnSpPr>
        <xdr:cNvPr id="42" name="رابط مستقيم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CxnSpPr/>
      </xdr:nvCxnSpPr>
      <xdr:spPr>
        <a:xfrm flipH="1">
          <a:off x="11227917601" y="6457950"/>
          <a:ext cx="1914524" cy="1"/>
        </a:xfrm>
        <a:prstGeom prst="line">
          <a:avLst/>
        </a:prstGeom>
        <a:ln>
          <a:headEnd type="oval" w="med" len="med"/>
          <a:tailEnd type="oval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12</xdr:col>
      <xdr:colOff>66675</xdr:colOff>
      <xdr:row>33</xdr:row>
      <xdr:rowOff>38100</xdr:rowOff>
    </xdr:from>
    <xdr:ext cx="590550" cy="457200"/>
    <xdr:pic>
      <xdr:nvPicPr>
        <xdr:cNvPr id="43" name="صورة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27260375" y="4010025"/>
          <a:ext cx="590550" cy="457200"/>
        </a:xfrm>
        <a:prstGeom prst="rect">
          <a:avLst/>
        </a:prstGeom>
      </xdr:spPr>
    </xdr:pic>
    <xdr:clientData/>
  </xdr:oneCellAnchor>
  <xdr:twoCellAnchor>
    <xdr:from>
      <xdr:col>1</xdr:col>
      <xdr:colOff>171450</xdr:colOff>
      <xdr:row>46</xdr:row>
      <xdr:rowOff>161925</xdr:rowOff>
    </xdr:from>
    <xdr:to>
      <xdr:col>5</xdr:col>
      <xdr:colOff>0</xdr:colOff>
      <xdr:row>47</xdr:row>
      <xdr:rowOff>1</xdr:rowOff>
    </xdr:to>
    <xdr:cxnSp macro="">
      <xdr:nvCxnSpPr>
        <xdr:cNvPr id="45" name="رابط مستقيم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CxnSpPr/>
      </xdr:nvCxnSpPr>
      <xdr:spPr>
        <a:xfrm flipH="1">
          <a:off x="11231251350" y="8439150"/>
          <a:ext cx="2133600" cy="9526"/>
        </a:xfrm>
        <a:prstGeom prst="line">
          <a:avLst/>
        </a:prstGeom>
        <a:ln>
          <a:headEnd type="oval" w="med" len="med"/>
          <a:tailEnd type="oval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66675</xdr:colOff>
      <xdr:row>44</xdr:row>
      <xdr:rowOff>38100</xdr:rowOff>
    </xdr:from>
    <xdr:ext cx="590550" cy="457200"/>
    <xdr:pic>
      <xdr:nvPicPr>
        <xdr:cNvPr id="46" name="صورة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0594125" y="4010025"/>
          <a:ext cx="590550" cy="457200"/>
        </a:xfrm>
        <a:prstGeom prst="rect">
          <a:avLst/>
        </a:prstGeom>
      </xdr:spPr>
    </xdr:pic>
    <xdr:clientData/>
  </xdr:oneCellAnchor>
  <xdr:twoCellAnchor>
    <xdr:from>
      <xdr:col>8</xdr:col>
      <xdr:colOff>323850</xdr:colOff>
      <xdr:row>47</xdr:row>
      <xdr:rowOff>0</xdr:rowOff>
    </xdr:from>
    <xdr:to>
      <xdr:col>11</xdr:col>
      <xdr:colOff>685799</xdr:colOff>
      <xdr:row>47</xdr:row>
      <xdr:rowOff>1</xdr:rowOff>
    </xdr:to>
    <xdr:cxnSp macro="">
      <xdr:nvCxnSpPr>
        <xdr:cNvPr id="48" name="رابط مستقيم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CxnSpPr/>
      </xdr:nvCxnSpPr>
      <xdr:spPr>
        <a:xfrm flipH="1">
          <a:off x="11227917601" y="8448675"/>
          <a:ext cx="1914524" cy="1"/>
        </a:xfrm>
        <a:prstGeom prst="line">
          <a:avLst/>
        </a:prstGeom>
        <a:ln>
          <a:headEnd type="oval" w="med" len="med"/>
          <a:tailEnd type="oval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12</xdr:col>
      <xdr:colOff>66675</xdr:colOff>
      <xdr:row>44</xdr:row>
      <xdr:rowOff>38100</xdr:rowOff>
    </xdr:from>
    <xdr:ext cx="590550" cy="457200"/>
    <xdr:pic>
      <xdr:nvPicPr>
        <xdr:cNvPr id="49" name="صورة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27260375" y="4010025"/>
          <a:ext cx="590550" cy="4572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2</xdr:row>
          <xdr:rowOff>0</xdr:rowOff>
        </xdr:from>
        <xdr:to>
          <xdr:col>17</xdr:col>
          <xdr:colOff>342900</xdr:colOff>
          <xdr:row>4</xdr:row>
          <xdr:rowOff>9525</xdr:rowOff>
        </xdr:to>
        <xdr:sp macro="" textlink="">
          <xdr:nvSpPr>
            <xdr:cNvPr id="2052" name="Spinner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685800</xdr:colOff>
      <xdr:row>37</xdr:row>
      <xdr:rowOff>9525</xdr:rowOff>
    </xdr:from>
    <xdr:to>
      <xdr:col>5</xdr:col>
      <xdr:colOff>771525</xdr:colOff>
      <xdr:row>42</xdr:row>
      <xdr:rowOff>209550</xdr:rowOff>
    </xdr:to>
    <xdr:grpSp>
      <xdr:nvGrpSpPr>
        <xdr:cNvPr id="18" name="Group 123">
          <a:extLst>
            <a:ext uri="{FF2B5EF4-FFF2-40B4-BE49-F238E27FC236}">
              <a16:creationId xmlns:a16="http://schemas.microsoft.com/office/drawing/2014/main" id="{C2793353-9FC6-477A-A9CE-79621C5FE7A3}"/>
            </a:ext>
          </a:extLst>
        </xdr:cNvPr>
        <xdr:cNvGrpSpPr>
          <a:grpSpLocks noChangeAspect="1"/>
        </xdr:cNvGrpSpPr>
      </xdr:nvGrpSpPr>
      <xdr:grpSpPr bwMode="auto">
        <a:xfrm>
          <a:off x="11230575075" y="6715125"/>
          <a:ext cx="809625" cy="1057275"/>
          <a:chOff x="1179063" y="79"/>
          <a:chExt cx="85" cy="111"/>
        </a:xfrm>
      </xdr:grpSpPr>
      <xdr:sp macro="" textlink="">
        <xdr:nvSpPr>
          <xdr:cNvPr id="19" name="AutoShape 122">
            <a:extLst>
              <a:ext uri="{FF2B5EF4-FFF2-40B4-BE49-F238E27FC236}">
                <a16:creationId xmlns:a16="http://schemas.microsoft.com/office/drawing/2014/main" id="{17DAA3EC-563F-4FF4-202F-4BC5FADA0E45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1179063" y="79"/>
            <a:ext cx="85" cy="11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" name="Line 124">
            <a:extLst>
              <a:ext uri="{FF2B5EF4-FFF2-40B4-BE49-F238E27FC236}">
                <a16:creationId xmlns:a16="http://schemas.microsoft.com/office/drawing/2014/main" id="{C4E0B9D8-213F-147F-7F69-540D8DB40B9E}"/>
              </a:ext>
            </a:extLst>
          </xdr:cNvPr>
          <xdr:cNvSpPr>
            <a:spLocks noChangeShapeType="1"/>
          </xdr:cNvSpPr>
        </xdr:nvSpPr>
        <xdr:spPr bwMode="auto">
          <a:xfrm>
            <a:off x="1179064" y="79"/>
            <a:ext cx="84" cy="0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Rectangle 125">
            <a:extLst>
              <a:ext uri="{FF2B5EF4-FFF2-40B4-BE49-F238E27FC236}">
                <a16:creationId xmlns:a16="http://schemas.microsoft.com/office/drawing/2014/main" id="{872EDAFE-BDCB-BECF-A25E-2D8BB1FC96C8}"/>
              </a:ext>
            </a:extLst>
          </xdr:cNvPr>
          <xdr:cNvSpPr>
            <a:spLocks noChangeArrowheads="1"/>
          </xdr:cNvSpPr>
        </xdr:nvSpPr>
        <xdr:spPr bwMode="auto">
          <a:xfrm>
            <a:off x="1179064" y="79"/>
            <a:ext cx="84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2" name="Line 126">
            <a:extLst>
              <a:ext uri="{FF2B5EF4-FFF2-40B4-BE49-F238E27FC236}">
                <a16:creationId xmlns:a16="http://schemas.microsoft.com/office/drawing/2014/main" id="{346A5DC5-905C-723F-883D-A689E5815D1E}"/>
              </a:ext>
            </a:extLst>
          </xdr:cNvPr>
          <xdr:cNvSpPr>
            <a:spLocks noChangeShapeType="1"/>
          </xdr:cNvSpPr>
        </xdr:nvSpPr>
        <xdr:spPr bwMode="auto">
          <a:xfrm>
            <a:off x="1179064" y="189"/>
            <a:ext cx="84" cy="0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Rectangle 127">
            <a:extLst>
              <a:ext uri="{FF2B5EF4-FFF2-40B4-BE49-F238E27FC236}">
                <a16:creationId xmlns:a16="http://schemas.microsoft.com/office/drawing/2014/main" id="{05C45F3A-0112-5EC9-4A5B-5AA428127E86}"/>
              </a:ext>
            </a:extLst>
          </xdr:cNvPr>
          <xdr:cNvSpPr>
            <a:spLocks noChangeArrowheads="1"/>
          </xdr:cNvSpPr>
        </xdr:nvSpPr>
        <xdr:spPr bwMode="auto">
          <a:xfrm>
            <a:off x="1179064" y="189"/>
            <a:ext cx="84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6" name="Line 128">
            <a:extLst>
              <a:ext uri="{FF2B5EF4-FFF2-40B4-BE49-F238E27FC236}">
                <a16:creationId xmlns:a16="http://schemas.microsoft.com/office/drawing/2014/main" id="{064F8267-22CB-18FB-5F2F-D6A410252F34}"/>
              </a:ext>
            </a:extLst>
          </xdr:cNvPr>
          <xdr:cNvSpPr>
            <a:spLocks noChangeShapeType="1"/>
          </xdr:cNvSpPr>
        </xdr:nvSpPr>
        <xdr:spPr bwMode="auto">
          <a:xfrm>
            <a:off x="1179147" y="79"/>
            <a:ext cx="0" cy="11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" name="Rectangle 129">
            <a:extLst>
              <a:ext uri="{FF2B5EF4-FFF2-40B4-BE49-F238E27FC236}">
                <a16:creationId xmlns:a16="http://schemas.microsoft.com/office/drawing/2014/main" id="{A4B2F815-87FB-0722-0D83-A7452F76B0B8}"/>
              </a:ext>
            </a:extLst>
          </xdr:cNvPr>
          <xdr:cNvSpPr>
            <a:spLocks noChangeArrowheads="1"/>
          </xdr:cNvSpPr>
        </xdr:nvSpPr>
        <xdr:spPr bwMode="auto">
          <a:xfrm>
            <a:off x="1179147" y="79"/>
            <a:ext cx="1" cy="11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1" name="Line 130">
            <a:extLst>
              <a:ext uri="{FF2B5EF4-FFF2-40B4-BE49-F238E27FC236}">
                <a16:creationId xmlns:a16="http://schemas.microsoft.com/office/drawing/2014/main" id="{9421F5F4-8F40-89A9-1FB5-AE6654054B25}"/>
              </a:ext>
            </a:extLst>
          </xdr:cNvPr>
          <xdr:cNvSpPr>
            <a:spLocks noChangeShapeType="1"/>
          </xdr:cNvSpPr>
        </xdr:nvSpPr>
        <xdr:spPr bwMode="auto">
          <a:xfrm>
            <a:off x="1179063" y="79"/>
            <a:ext cx="0" cy="11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" name="Rectangle 131">
            <a:extLst>
              <a:ext uri="{FF2B5EF4-FFF2-40B4-BE49-F238E27FC236}">
                <a16:creationId xmlns:a16="http://schemas.microsoft.com/office/drawing/2014/main" id="{3885F572-564D-2ADA-AA05-E28C9100910B}"/>
              </a:ext>
            </a:extLst>
          </xdr:cNvPr>
          <xdr:cNvSpPr>
            <a:spLocks noChangeArrowheads="1"/>
          </xdr:cNvSpPr>
        </xdr:nvSpPr>
        <xdr:spPr bwMode="auto">
          <a:xfrm>
            <a:off x="1179063" y="79"/>
            <a:ext cx="1" cy="11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0</xdr:colOff>
      <xdr:row>37</xdr:row>
      <xdr:rowOff>0</xdr:rowOff>
    </xdr:from>
    <xdr:to>
      <xdr:col>13</xdr:col>
      <xdr:colOff>0</xdr:colOff>
      <xdr:row>42</xdr:row>
      <xdr:rowOff>200025</xdr:rowOff>
    </xdr:to>
    <xdr:grpSp>
      <xdr:nvGrpSpPr>
        <xdr:cNvPr id="53" name="Group 123">
          <a:extLst>
            <a:ext uri="{FF2B5EF4-FFF2-40B4-BE49-F238E27FC236}">
              <a16:creationId xmlns:a16="http://schemas.microsoft.com/office/drawing/2014/main" id="{3E820828-9D4D-4B82-BCE8-04899B37543E}"/>
            </a:ext>
          </a:extLst>
        </xdr:cNvPr>
        <xdr:cNvGrpSpPr>
          <a:grpSpLocks noChangeAspect="1"/>
        </xdr:cNvGrpSpPr>
      </xdr:nvGrpSpPr>
      <xdr:grpSpPr bwMode="auto">
        <a:xfrm>
          <a:off x="11227098450" y="6705600"/>
          <a:ext cx="809625" cy="1057275"/>
          <a:chOff x="1179063" y="79"/>
          <a:chExt cx="85" cy="111"/>
        </a:xfrm>
      </xdr:grpSpPr>
      <xdr:sp macro="" textlink="">
        <xdr:nvSpPr>
          <xdr:cNvPr id="54" name="AutoShape 122">
            <a:extLst>
              <a:ext uri="{FF2B5EF4-FFF2-40B4-BE49-F238E27FC236}">
                <a16:creationId xmlns:a16="http://schemas.microsoft.com/office/drawing/2014/main" id="{5505C5C9-AAFD-D449-0694-5AFC08378102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1179063" y="79"/>
            <a:ext cx="85" cy="11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5" name="Line 124">
            <a:extLst>
              <a:ext uri="{FF2B5EF4-FFF2-40B4-BE49-F238E27FC236}">
                <a16:creationId xmlns:a16="http://schemas.microsoft.com/office/drawing/2014/main" id="{598202CF-B111-5612-7B5B-E5EB21DBEC0D}"/>
              </a:ext>
            </a:extLst>
          </xdr:cNvPr>
          <xdr:cNvSpPr>
            <a:spLocks noChangeShapeType="1"/>
          </xdr:cNvSpPr>
        </xdr:nvSpPr>
        <xdr:spPr bwMode="auto">
          <a:xfrm>
            <a:off x="1179064" y="79"/>
            <a:ext cx="84" cy="0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6" name="Rectangle 125">
            <a:extLst>
              <a:ext uri="{FF2B5EF4-FFF2-40B4-BE49-F238E27FC236}">
                <a16:creationId xmlns:a16="http://schemas.microsoft.com/office/drawing/2014/main" id="{726ED8CA-C2CA-263F-2636-833F0B054ED7}"/>
              </a:ext>
            </a:extLst>
          </xdr:cNvPr>
          <xdr:cNvSpPr>
            <a:spLocks noChangeArrowheads="1"/>
          </xdr:cNvSpPr>
        </xdr:nvSpPr>
        <xdr:spPr bwMode="auto">
          <a:xfrm>
            <a:off x="1179064" y="79"/>
            <a:ext cx="84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7" name="Line 126">
            <a:extLst>
              <a:ext uri="{FF2B5EF4-FFF2-40B4-BE49-F238E27FC236}">
                <a16:creationId xmlns:a16="http://schemas.microsoft.com/office/drawing/2014/main" id="{C5B8AB1A-6D9F-DC62-90D8-6E4A68979BD5}"/>
              </a:ext>
            </a:extLst>
          </xdr:cNvPr>
          <xdr:cNvSpPr>
            <a:spLocks noChangeShapeType="1"/>
          </xdr:cNvSpPr>
        </xdr:nvSpPr>
        <xdr:spPr bwMode="auto">
          <a:xfrm>
            <a:off x="1179064" y="189"/>
            <a:ext cx="84" cy="0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8" name="Rectangle 127">
            <a:extLst>
              <a:ext uri="{FF2B5EF4-FFF2-40B4-BE49-F238E27FC236}">
                <a16:creationId xmlns:a16="http://schemas.microsoft.com/office/drawing/2014/main" id="{DA92F31A-68EC-3D41-A1AD-6187CA0D207D}"/>
              </a:ext>
            </a:extLst>
          </xdr:cNvPr>
          <xdr:cNvSpPr>
            <a:spLocks noChangeArrowheads="1"/>
          </xdr:cNvSpPr>
        </xdr:nvSpPr>
        <xdr:spPr bwMode="auto">
          <a:xfrm>
            <a:off x="1179064" y="189"/>
            <a:ext cx="84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9" name="Line 128">
            <a:extLst>
              <a:ext uri="{FF2B5EF4-FFF2-40B4-BE49-F238E27FC236}">
                <a16:creationId xmlns:a16="http://schemas.microsoft.com/office/drawing/2014/main" id="{5E5E48AC-212F-81B5-213D-23D8900384AB}"/>
              </a:ext>
            </a:extLst>
          </xdr:cNvPr>
          <xdr:cNvSpPr>
            <a:spLocks noChangeShapeType="1"/>
          </xdr:cNvSpPr>
        </xdr:nvSpPr>
        <xdr:spPr bwMode="auto">
          <a:xfrm>
            <a:off x="1179147" y="79"/>
            <a:ext cx="0" cy="11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0" name="Rectangle 129">
            <a:extLst>
              <a:ext uri="{FF2B5EF4-FFF2-40B4-BE49-F238E27FC236}">
                <a16:creationId xmlns:a16="http://schemas.microsoft.com/office/drawing/2014/main" id="{AB8A24CD-EE7E-6BBB-39AF-88CDBF8FE06B}"/>
              </a:ext>
            </a:extLst>
          </xdr:cNvPr>
          <xdr:cNvSpPr>
            <a:spLocks noChangeArrowheads="1"/>
          </xdr:cNvSpPr>
        </xdr:nvSpPr>
        <xdr:spPr bwMode="auto">
          <a:xfrm>
            <a:off x="1179147" y="79"/>
            <a:ext cx="1" cy="11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1" name="Line 130">
            <a:extLst>
              <a:ext uri="{FF2B5EF4-FFF2-40B4-BE49-F238E27FC236}">
                <a16:creationId xmlns:a16="http://schemas.microsoft.com/office/drawing/2014/main" id="{085EC337-5767-FFE0-90AF-9FD7C8382625}"/>
              </a:ext>
            </a:extLst>
          </xdr:cNvPr>
          <xdr:cNvSpPr>
            <a:spLocks noChangeShapeType="1"/>
          </xdr:cNvSpPr>
        </xdr:nvSpPr>
        <xdr:spPr bwMode="auto">
          <a:xfrm>
            <a:off x="1179063" y="79"/>
            <a:ext cx="0" cy="11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2" name="Rectangle 131">
            <a:extLst>
              <a:ext uri="{FF2B5EF4-FFF2-40B4-BE49-F238E27FC236}">
                <a16:creationId xmlns:a16="http://schemas.microsoft.com/office/drawing/2014/main" id="{CC392090-BC84-9501-97F2-1F973F57085B}"/>
              </a:ext>
            </a:extLst>
          </xdr:cNvPr>
          <xdr:cNvSpPr>
            <a:spLocks noChangeArrowheads="1"/>
          </xdr:cNvSpPr>
        </xdr:nvSpPr>
        <xdr:spPr bwMode="auto">
          <a:xfrm>
            <a:off x="1179063" y="79"/>
            <a:ext cx="1" cy="11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4</xdr:col>
      <xdr:colOff>676275</xdr:colOff>
      <xdr:row>48</xdr:row>
      <xdr:rowOff>0</xdr:rowOff>
    </xdr:from>
    <xdr:to>
      <xdr:col>5</xdr:col>
      <xdr:colOff>762000</xdr:colOff>
      <xdr:row>53</xdr:row>
      <xdr:rowOff>200025</xdr:rowOff>
    </xdr:to>
    <xdr:grpSp>
      <xdr:nvGrpSpPr>
        <xdr:cNvPr id="63" name="Group 123">
          <a:extLst>
            <a:ext uri="{FF2B5EF4-FFF2-40B4-BE49-F238E27FC236}">
              <a16:creationId xmlns:a16="http://schemas.microsoft.com/office/drawing/2014/main" id="{7942ABF0-4471-4F91-BB81-0FFD0FD0A833}"/>
            </a:ext>
          </a:extLst>
        </xdr:cNvPr>
        <xdr:cNvGrpSpPr>
          <a:grpSpLocks noChangeAspect="1"/>
        </xdr:cNvGrpSpPr>
      </xdr:nvGrpSpPr>
      <xdr:grpSpPr bwMode="auto">
        <a:xfrm>
          <a:off x="11230584600" y="8696325"/>
          <a:ext cx="809625" cy="1057275"/>
          <a:chOff x="1179063" y="79"/>
          <a:chExt cx="85" cy="111"/>
        </a:xfrm>
      </xdr:grpSpPr>
      <xdr:sp macro="" textlink="">
        <xdr:nvSpPr>
          <xdr:cNvPr id="2048" name="AutoShape 122">
            <a:extLst>
              <a:ext uri="{FF2B5EF4-FFF2-40B4-BE49-F238E27FC236}">
                <a16:creationId xmlns:a16="http://schemas.microsoft.com/office/drawing/2014/main" id="{BEBA9FB9-E517-3AE0-1D77-B13382601F4F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1179063" y="79"/>
            <a:ext cx="85" cy="11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49" name="Line 124">
            <a:extLst>
              <a:ext uri="{FF2B5EF4-FFF2-40B4-BE49-F238E27FC236}">
                <a16:creationId xmlns:a16="http://schemas.microsoft.com/office/drawing/2014/main" id="{44F8E37E-B668-E236-AAE6-E4B46E04F298}"/>
              </a:ext>
            </a:extLst>
          </xdr:cNvPr>
          <xdr:cNvSpPr>
            <a:spLocks noChangeShapeType="1"/>
          </xdr:cNvSpPr>
        </xdr:nvSpPr>
        <xdr:spPr bwMode="auto">
          <a:xfrm>
            <a:off x="1179064" y="79"/>
            <a:ext cx="84" cy="0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50" name="Rectangle 125">
            <a:extLst>
              <a:ext uri="{FF2B5EF4-FFF2-40B4-BE49-F238E27FC236}">
                <a16:creationId xmlns:a16="http://schemas.microsoft.com/office/drawing/2014/main" id="{1856C005-9BCE-1835-0164-FE5620549723}"/>
              </a:ext>
            </a:extLst>
          </xdr:cNvPr>
          <xdr:cNvSpPr>
            <a:spLocks noChangeArrowheads="1"/>
          </xdr:cNvSpPr>
        </xdr:nvSpPr>
        <xdr:spPr bwMode="auto">
          <a:xfrm>
            <a:off x="1179064" y="79"/>
            <a:ext cx="84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51" name="Line 126">
            <a:extLst>
              <a:ext uri="{FF2B5EF4-FFF2-40B4-BE49-F238E27FC236}">
                <a16:creationId xmlns:a16="http://schemas.microsoft.com/office/drawing/2014/main" id="{ED8A8E2C-499F-3070-EFBD-832143974369}"/>
              </a:ext>
            </a:extLst>
          </xdr:cNvPr>
          <xdr:cNvSpPr>
            <a:spLocks noChangeShapeType="1"/>
          </xdr:cNvSpPr>
        </xdr:nvSpPr>
        <xdr:spPr bwMode="auto">
          <a:xfrm>
            <a:off x="1179064" y="189"/>
            <a:ext cx="84" cy="0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53" name="Rectangle 127">
            <a:extLst>
              <a:ext uri="{FF2B5EF4-FFF2-40B4-BE49-F238E27FC236}">
                <a16:creationId xmlns:a16="http://schemas.microsoft.com/office/drawing/2014/main" id="{99FF781B-25FE-B5F4-CB44-5E98B9C531C7}"/>
              </a:ext>
            </a:extLst>
          </xdr:cNvPr>
          <xdr:cNvSpPr>
            <a:spLocks noChangeArrowheads="1"/>
          </xdr:cNvSpPr>
        </xdr:nvSpPr>
        <xdr:spPr bwMode="auto">
          <a:xfrm>
            <a:off x="1179064" y="189"/>
            <a:ext cx="84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54" name="Line 128">
            <a:extLst>
              <a:ext uri="{FF2B5EF4-FFF2-40B4-BE49-F238E27FC236}">
                <a16:creationId xmlns:a16="http://schemas.microsoft.com/office/drawing/2014/main" id="{BC909997-07CF-F7A6-DE43-C21735CC518E}"/>
              </a:ext>
            </a:extLst>
          </xdr:cNvPr>
          <xdr:cNvSpPr>
            <a:spLocks noChangeShapeType="1"/>
          </xdr:cNvSpPr>
        </xdr:nvSpPr>
        <xdr:spPr bwMode="auto">
          <a:xfrm>
            <a:off x="1179147" y="79"/>
            <a:ext cx="0" cy="11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55" name="Rectangle 129">
            <a:extLst>
              <a:ext uri="{FF2B5EF4-FFF2-40B4-BE49-F238E27FC236}">
                <a16:creationId xmlns:a16="http://schemas.microsoft.com/office/drawing/2014/main" id="{D98B285D-1C06-0E55-AD97-2FC41E589EAB}"/>
              </a:ext>
            </a:extLst>
          </xdr:cNvPr>
          <xdr:cNvSpPr>
            <a:spLocks noChangeArrowheads="1"/>
          </xdr:cNvSpPr>
        </xdr:nvSpPr>
        <xdr:spPr bwMode="auto">
          <a:xfrm>
            <a:off x="1179147" y="79"/>
            <a:ext cx="1" cy="11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56" name="Line 130">
            <a:extLst>
              <a:ext uri="{FF2B5EF4-FFF2-40B4-BE49-F238E27FC236}">
                <a16:creationId xmlns:a16="http://schemas.microsoft.com/office/drawing/2014/main" id="{7508730A-43DF-2D5A-7040-D6D14266AEED}"/>
              </a:ext>
            </a:extLst>
          </xdr:cNvPr>
          <xdr:cNvSpPr>
            <a:spLocks noChangeShapeType="1"/>
          </xdr:cNvSpPr>
        </xdr:nvSpPr>
        <xdr:spPr bwMode="auto">
          <a:xfrm>
            <a:off x="1179063" y="79"/>
            <a:ext cx="0" cy="11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57" name="Rectangle 131">
            <a:extLst>
              <a:ext uri="{FF2B5EF4-FFF2-40B4-BE49-F238E27FC236}">
                <a16:creationId xmlns:a16="http://schemas.microsoft.com/office/drawing/2014/main" id="{133DB8D3-4AB4-7A2E-7610-20B96107F2FE}"/>
              </a:ext>
            </a:extLst>
          </xdr:cNvPr>
          <xdr:cNvSpPr>
            <a:spLocks noChangeArrowheads="1"/>
          </xdr:cNvSpPr>
        </xdr:nvSpPr>
        <xdr:spPr bwMode="auto">
          <a:xfrm>
            <a:off x="1179063" y="79"/>
            <a:ext cx="1" cy="11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11</xdr:col>
      <xdr:colOff>676275</xdr:colOff>
      <xdr:row>48</xdr:row>
      <xdr:rowOff>0</xdr:rowOff>
    </xdr:from>
    <xdr:to>
      <xdr:col>12</xdr:col>
      <xdr:colOff>762000</xdr:colOff>
      <xdr:row>53</xdr:row>
      <xdr:rowOff>200025</xdr:rowOff>
    </xdr:to>
    <xdr:grpSp>
      <xdr:nvGrpSpPr>
        <xdr:cNvPr id="2058" name="Group 123">
          <a:extLst>
            <a:ext uri="{FF2B5EF4-FFF2-40B4-BE49-F238E27FC236}">
              <a16:creationId xmlns:a16="http://schemas.microsoft.com/office/drawing/2014/main" id="{2763F1EC-7618-4762-AAE5-FB5110FB7BFD}"/>
            </a:ext>
          </a:extLst>
        </xdr:cNvPr>
        <xdr:cNvGrpSpPr>
          <a:grpSpLocks noChangeAspect="1"/>
        </xdr:cNvGrpSpPr>
      </xdr:nvGrpSpPr>
      <xdr:grpSpPr bwMode="auto">
        <a:xfrm>
          <a:off x="11227146075" y="8696325"/>
          <a:ext cx="809625" cy="1057275"/>
          <a:chOff x="1179063" y="79"/>
          <a:chExt cx="85" cy="111"/>
        </a:xfrm>
      </xdr:grpSpPr>
      <xdr:sp macro="" textlink="">
        <xdr:nvSpPr>
          <xdr:cNvPr id="2059" name="AutoShape 122">
            <a:extLst>
              <a:ext uri="{FF2B5EF4-FFF2-40B4-BE49-F238E27FC236}">
                <a16:creationId xmlns:a16="http://schemas.microsoft.com/office/drawing/2014/main" id="{A5C67EB5-D913-530A-C9B3-4694C1EB3B60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1179063" y="79"/>
            <a:ext cx="85" cy="11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60" name="Line 124">
            <a:extLst>
              <a:ext uri="{FF2B5EF4-FFF2-40B4-BE49-F238E27FC236}">
                <a16:creationId xmlns:a16="http://schemas.microsoft.com/office/drawing/2014/main" id="{A7FA0FD9-2714-1181-B418-C8AACD17D47C}"/>
              </a:ext>
            </a:extLst>
          </xdr:cNvPr>
          <xdr:cNvSpPr>
            <a:spLocks noChangeShapeType="1"/>
          </xdr:cNvSpPr>
        </xdr:nvSpPr>
        <xdr:spPr bwMode="auto">
          <a:xfrm>
            <a:off x="1179064" y="79"/>
            <a:ext cx="84" cy="0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61" name="Rectangle 125">
            <a:extLst>
              <a:ext uri="{FF2B5EF4-FFF2-40B4-BE49-F238E27FC236}">
                <a16:creationId xmlns:a16="http://schemas.microsoft.com/office/drawing/2014/main" id="{C8235978-D5CD-0EAC-F951-997173B5E27C}"/>
              </a:ext>
            </a:extLst>
          </xdr:cNvPr>
          <xdr:cNvSpPr>
            <a:spLocks noChangeArrowheads="1"/>
          </xdr:cNvSpPr>
        </xdr:nvSpPr>
        <xdr:spPr bwMode="auto">
          <a:xfrm>
            <a:off x="1179064" y="79"/>
            <a:ext cx="84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62" name="Line 126">
            <a:extLst>
              <a:ext uri="{FF2B5EF4-FFF2-40B4-BE49-F238E27FC236}">
                <a16:creationId xmlns:a16="http://schemas.microsoft.com/office/drawing/2014/main" id="{5049EA41-7938-4BA9-A16E-175E183C4012}"/>
              </a:ext>
            </a:extLst>
          </xdr:cNvPr>
          <xdr:cNvSpPr>
            <a:spLocks noChangeShapeType="1"/>
          </xdr:cNvSpPr>
        </xdr:nvSpPr>
        <xdr:spPr bwMode="auto">
          <a:xfrm>
            <a:off x="1179064" y="189"/>
            <a:ext cx="84" cy="0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63" name="Rectangle 127">
            <a:extLst>
              <a:ext uri="{FF2B5EF4-FFF2-40B4-BE49-F238E27FC236}">
                <a16:creationId xmlns:a16="http://schemas.microsoft.com/office/drawing/2014/main" id="{CEC9641F-42C9-5A30-5CCE-60C119A876B9}"/>
              </a:ext>
            </a:extLst>
          </xdr:cNvPr>
          <xdr:cNvSpPr>
            <a:spLocks noChangeArrowheads="1"/>
          </xdr:cNvSpPr>
        </xdr:nvSpPr>
        <xdr:spPr bwMode="auto">
          <a:xfrm>
            <a:off x="1179064" y="189"/>
            <a:ext cx="84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64" name="Line 128">
            <a:extLst>
              <a:ext uri="{FF2B5EF4-FFF2-40B4-BE49-F238E27FC236}">
                <a16:creationId xmlns:a16="http://schemas.microsoft.com/office/drawing/2014/main" id="{78806B5E-8A27-3AF0-F182-96086DE2951C}"/>
              </a:ext>
            </a:extLst>
          </xdr:cNvPr>
          <xdr:cNvSpPr>
            <a:spLocks noChangeShapeType="1"/>
          </xdr:cNvSpPr>
        </xdr:nvSpPr>
        <xdr:spPr bwMode="auto">
          <a:xfrm>
            <a:off x="1179147" y="79"/>
            <a:ext cx="0" cy="11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65" name="Rectangle 129">
            <a:extLst>
              <a:ext uri="{FF2B5EF4-FFF2-40B4-BE49-F238E27FC236}">
                <a16:creationId xmlns:a16="http://schemas.microsoft.com/office/drawing/2014/main" id="{C6CBDDAF-F7C3-0F84-A469-93A3C454B876}"/>
              </a:ext>
            </a:extLst>
          </xdr:cNvPr>
          <xdr:cNvSpPr>
            <a:spLocks noChangeArrowheads="1"/>
          </xdr:cNvSpPr>
        </xdr:nvSpPr>
        <xdr:spPr bwMode="auto">
          <a:xfrm>
            <a:off x="1179147" y="79"/>
            <a:ext cx="1" cy="11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66" name="Line 130">
            <a:extLst>
              <a:ext uri="{FF2B5EF4-FFF2-40B4-BE49-F238E27FC236}">
                <a16:creationId xmlns:a16="http://schemas.microsoft.com/office/drawing/2014/main" id="{53972908-4CAB-7FB4-05DA-06137FE7EF17}"/>
              </a:ext>
            </a:extLst>
          </xdr:cNvPr>
          <xdr:cNvSpPr>
            <a:spLocks noChangeShapeType="1"/>
          </xdr:cNvSpPr>
        </xdr:nvSpPr>
        <xdr:spPr bwMode="auto">
          <a:xfrm>
            <a:off x="1179063" y="79"/>
            <a:ext cx="0" cy="11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67" name="Rectangle 131">
            <a:extLst>
              <a:ext uri="{FF2B5EF4-FFF2-40B4-BE49-F238E27FC236}">
                <a16:creationId xmlns:a16="http://schemas.microsoft.com/office/drawing/2014/main" id="{762C4C8B-5523-8C9E-2B3E-D39F7B8EC1B3}"/>
              </a:ext>
            </a:extLst>
          </xdr:cNvPr>
          <xdr:cNvSpPr>
            <a:spLocks noChangeArrowheads="1"/>
          </xdr:cNvSpPr>
        </xdr:nvSpPr>
        <xdr:spPr bwMode="auto">
          <a:xfrm>
            <a:off x="1179063" y="79"/>
            <a:ext cx="1" cy="11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11</xdr:col>
      <xdr:colOff>647700</xdr:colOff>
      <xdr:row>26</xdr:row>
      <xdr:rowOff>0</xdr:rowOff>
    </xdr:from>
    <xdr:to>
      <xdr:col>12</xdr:col>
      <xdr:colOff>771525</xdr:colOff>
      <xdr:row>31</xdr:row>
      <xdr:rowOff>200025</xdr:rowOff>
    </xdr:to>
    <xdr:grpSp>
      <xdr:nvGrpSpPr>
        <xdr:cNvPr id="2068" name="Group 123">
          <a:extLst>
            <a:ext uri="{FF2B5EF4-FFF2-40B4-BE49-F238E27FC236}">
              <a16:creationId xmlns:a16="http://schemas.microsoft.com/office/drawing/2014/main" id="{014E00A5-6427-4714-A02E-2A9404649DBA}"/>
            </a:ext>
          </a:extLst>
        </xdr:cNvPr>
        <xdr:cNvGrpSpPr>
          <a:grpSpLocks noChangeAspect="1"/>
        </xdr:cNvGrpSpPr>
      </xdr:nvGrpSpPr>
      <xdr:grpSpPr bwMode="auto">
        <a:xfrm>
          <a:off x="11227136550" y="4714875"/>
          <a:ext cx="847725" cy="1057275"/>
          <a:chOff x="1179063" y="79"/>
          <a:chExt cx="89" cy="111"/>
        </a:xfrm>
      </xdr:grpSpPr>
      <xdr:sp macro="" textlink="">
        <xdr:nvSpPr>
          <xdr:cNvPr id="2069" name="AutoShape 122">
            <a:extLst>
              <a:ext uri="{FF2B5EF4-FFF2-40B4-BE49-F238E27FC236}">
                <a16:creationId xmlns:a16="http://schemas.microsoft.com/office/drawing/2014/main" id="{B567E3A1-74AD-CC3F-2083-94CA42E2A14D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1179067" y="79"/>
            <a:ext cx="85" cy="11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70" name="Line 124">
            <a:extLst>
              <a:ext uri="{FF2B5EF4-FFF2-40B4-BE49-F238E27FC236}">
                <a16:creationId xmlns:a16="http://schemas.microsoft.com/office/drawing/2014/main" id="{F9986088-BA8A-BDF8-5E58-B2C8D783CB7B}"/>
              </a:ext>
            </a:extLst>
          </xdr:cNvPr>
          <xdr:cNvSpPr>
            <a:spLocks noChangeShapeType="1"/>
          </xdr:cNvSpPr>
        </xdr:nvSpPr>
        <xdr:spPr bwMode="auto">
          <a:xfrm>
            <a:off x="1179064" y="79"/>
            <a:ext cx="84" cy="0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71" name="Rectangle 125">
            <a:extLst>
              <a:ext uri="{FF2B5EF4-FFF2-40B4-BE49-F238E27FC236}">
                <a16:creationId xmlns:a16="http://schemas.microsoft.com/office/drawing/2014/main" id="{8051EE02-602A-59A1-25CB-CFB5B8702769}"/>
              </a:ext>
            </a:extLst>
          </xdr:cNvPr>
          <xdr:cNvSpPr>
            <a:spLocks noChangeArrowheads="1"/>
          </xdr:cNvSpPr>
        </xdr:nvSpPr>
        <xdr:spPr bwMode="auto">
          <a:xfrm>
            <a:off x="1179064" y="79"/>
            <a:ext cx="84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72" name="Line 126">
            <a:extLst>
              <a:ext uri="{FF2B5EF4-FFF2-40B4-BE49-F238E27FC236}">
                <a16:creationId xmlns:a16="http://schemas.microsoft.com/office/drawing/2014/main" id="{F9C7632C-12CA-2D34-6051-3279CEA70182}"/>
              </a:ext>
            </a:extLst>
          </xdr:cNvPr>
          <xdr:cNvSpPr>
            <a:spLocks noChangeShapeType="1"/>
          </xdr:cNvSpPr>
        </xdr:nvSpPr>
        <xdr:spPr bwMode="auto">
          <a:xfrm>
            <a:off x="1179064" y="189"/>
            <a:ext cx="84" cy="0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73" name="Rectangle 127">
            <a:extLst>
              <a:ext uri="{FF2B5EF4-FFF2-40B4-BE49-F238E27FC236}">
                <a16:creationId xmlns:a16="http://schemas.microsoft.com/office/drawing/2014/main" id="{6ADB942A-DC1C-101F-B24D-5E10EB288058}"/>
              </a:ext>
            </a:extLst>
          </xdr:cNvPr>
          <xdr:cNvSpPr>
            <a:spLocks noChangeArrowheads="1"/>
          </xdr:cNvSpPr>
        </xdr:nvSpPr>
        <xdr:spPr bwMode="auto">
          <a:xfrm>
            <a:off x="1179064" y="189"/>
            <a:ext cx="84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74" name="Line 128">
            <a:extLst>
              <a:ext uri="{FF2B5EF4-FFF2-40B4-BE49-F238E27FC236}">
                <a16:creationId xmlns:a16="http://schemas.microsoft.com/office/drawing/2014/main" id="{32846A03-C328-8C14-F84A-17F1066381C0}"/>
              </a:ext>
            </a:extLst>
          </xdr:cNvPr>
          <xdr:cNvSpPr>
            <a:spLocks noChangeShapeType="1"/>
          </xdr:cNvSpPr>
        </xdr:nvSpPr>
        <xdr:spPr bwMode="auto">
          <a:xfrm>
            <a:off x="1179147" y="79"/>
            <a:ext cx="0" cy="11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75" name="Rectangle 129">
            <a:extLst>
              <a:ext uri="{FF2B5EF4-FFF2-40B4-BE49-F238E27FC236}">
                <a16:creationId xmlns:a16="http://schemas.microsoft.com/office/drawing/2014/main" id="{E14E1288-4772-76A1-6B92-0B0CEC99EA21}"/>
              </a:ext>
            </a:extLst>
          </xdr:cNvPr>
          <xdr:cNvSpPr>
            <a:spLocks noChangeArrowheads="1"/>
          </xdr:cNvSpPr>
        </xdr:nvSpPr>
        <xdr:spPr bwMode="auto">
          <a:xfrm>
            <a:off x="1179147" y="79"/>
            <a:ext cx="1" cy="11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76" name="Line 130">
            <a:extLst>
              <a:ext uri="{FF2B5EF4-FFF2-40B4-BE49-F238E27FC236}">
                <a16:creationId xmlns:a16="http://schemas.microsoft.com/office/drawing/2014/main" id="{62F086BB-4CE5-3D5A-22AB-FF76EBB9C124}"/>
              </a:ext>
            </a:extLst>
          </xdr:cNvPr>
          <xdr:cNvSpPr>
            <a:spLocks noChangeShapeType="1"/>
          </xdr:cNvSpPr>
        </xdr:nvSpPr>
        <xdr:spPr bwMode="auto">
          <a:xfrm>
            <a:off x="1179063" y="79"/>
            <a:ext cx="0" cy="11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77" name="Rectangle 131">
            <a:extLst>
              <a:ext uri="{FF2B5EF4-FFF2-40B4-BE49-F238E27FC236}">
                <a16:creationId xmlns:a16="http://schemas.microsoft.com/office/drawing/2014/main" id="{B06539EE-2062-23B9-5D09-7DDF8DF3E1BB}"/>
              </a:ext>
            </a:extLst>
          </xdr:cNvPr>
          <xdr:cNvSpPr>
            <a:spLocks noChangeArrowheads="1"/>
          </xdr:cNvSpPr>
        </xdr:nvSpPr>
        <xdr:spPr bwMode="auto">
          <a:xfrm>
            <a:off x="1179063" y="79"/>
            <a:ext cx="1" cy="11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4</xdr:col>
      <xdr:colOff>695325</xdr:colOff>
      <xdr:row>26</xdr:row>
      <xdr:rowOff>0</xdr:rowOff>
    </xdr:from>
    <xdr:to>
      <xdr:col>5</xdr:col>
      <xdr:colOff>781050</xdr:colOff>
      <xdr:row>31</xdr:row>
      <xdr:rowOff>200025</xdr:rowOff>
    </xdr:to>
    <xdr:grpSp>
      <xdr:nvGrpSpPr>
        <xdr:cNvPr id="2078" name="Group 123">
          <a:extLst>
            <a:ext uri="{FF2B5EF4-FFF2-40B4-BE49-F238E27FC236}">
              <a16:creationId xmlns:a16="http://schemas.microsoft.com/office/drawing/2014/main" id="{32DEF807-30DE-4CA2-A806-4E7E90372502}"/>
            </a:ext>
          </a:extLst>
        </xdr:cNvPr>
        <xdr:cNvGrpSpPr>
          <a:grpSpLocks noChangeAspect="1"/>
        </xdr:cNvGrpSpPr>
      </xdr:nvGrpSpPr>
      <xdr:grpSpPr bwMode="auto">
        <a:xfrm>
          <a:off x="11230565550" y="4714875"/>
          <a:ext cx="809625" cy="1057275"/>
          <a:chOff x="1179063" y="79"/>
          <a:chExt cx="85" cy="111"/>
        </a:xfrm>
      </xdr:grpSpPr>
      <xdr:sp macro="" textlink="">
        <xdr:nvSpPr>
          <xdr:cNvPr id="2079" name="AutoShape 122">
            <a:extLst>
              <a:ext uri="{FF2B5EF4-FFF2-40B4-BE49-F238E27FC236}">
                <a16:creationId xmlns:a16="http://schemas.microsoft.com/office/drawing/2014/main" id="{B255067A-7273-93AA-67E6-76EA244D2541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1179063" y="79"/>
            <a:ext cx="85" cy="11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144" name="Line 124">
            <a:extLst>
              <a:ext uri="{FF2B5EF4-FFF2-40B4-BE49-F238E27FC236}">
                <a16:creationId xmlns:a16="http://schemas.microsoft.com/office/drawing/2014/main" id="{AFA0594D-AC59-8F73-2803-CCEBEC68D1B1}"/>
              </a:ext>
            </a:extLst>
          </xdr:cNvPr>
          <xdr:cNvSpPr>
            <a:spLocks noChangeShapeType="1"/>
          </xdr:cNvSpPr>
        </xdr:nvSpPr>
        <xdr:spPr bwMode="auto">
          <a:xfrm>
            <a:off x="1179064" y="79"/>
            <a:ext cx="84" cy="0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45" name="Rectangle 125">
            <a:extLst>
              <a:ext uri="{FF2B5EF4-FFF2-40B4-BE49-F238E27FC236}">
                <a16:creationId xmlns:a16="http://schemas.microsoft.com/office/drawing/2014/main" id="{4045CDA8-0E36-B82D-989A-E909868B4B54}"/>
              </a:ext>
            </a:extLst>
          </xdr:cNvPr>
          <xdr:cNvSpPr>
            <a:spLocks noChangeArrowheads="1"/>
          </xdr:cNvSpPr>
        </xdr:nvSpPr>
        <xdr:spPr bwMode="auto">
          <a:xfrm>
            <a:off x="1179064" y="79"/>
            <a:ext cx="84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146" name="Line 126">
            <a:extLst>
              <a:ext uri="{FF2B5EF4-FFF2-40B4-BE49-F238E27FC236}">
                <a16:creationId xmlns:a16="http://schemas.microsoft.com/office/drawing/2014/main" id="{FCF0AE94-F136-6939-DE8A-8D134C39E32F}"/>
              </a:ext>
            </a:extLst>
          </xdr:cNvPr>
          <xdr:cNvSpPr>
            <a:spLocks noChangeShapeType="1"/>
          </xdr:cNvSpPr>
        </xdr:nvSpPr>
        <xdr:spPr bwMode="auto">
          <a:xfrm>
            <a:off x="1179064" y="189"/>
            <a:ext cx="84" cy="0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47" name="Rectangle 127">
            <a:extLst>
              <a:ext uri="{FF2B5EF4-FFF2-40B4-BE49-F238E27FC236}">
                <a16:creationId xmlns:a16="http://schemas.microsoft.com/office/drawing/2014/main" id="{072628F7-F644-C4F2-3ED0-579785E4973D}"/>
              </a:ext>
            </a:extLst>
          </xdr:cNvPr>
          <xdr:cNvSpPr>
            <a:spLocks noChangeArrowheads="1"/>
          </xdr:cNvSpPr>
        </xdr:nvSpPr>
        <xdr:spPr bwMode="auto">
          <a:xfrm>
            <a:off x="1179064" y="189"/>
            <a:ext cx="84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148" name="Line 128">
            <a:extLst>
              <a:ext uri="{FF2B5EF4-FFF2-40B4-BE49-F238E27FC236}">
                <a16:creationId xmlns:a16="http://schemas.microsoft.com/office/drawing/2014/main" id="{46E2514D-001D-7E69-0803-AFDCA087B55A}"/>
              </a:ext>
            </a:extLst>
          </xdr:cNvPr>
          <xdr:cNvSpPr>
            <a:spLocks noChangeShapeType="1"/>
          </xdr:cNvSpPr>
        </xdr:nvSpPr>
        <xdr:spPr bwMode="auto">
          <a:xfrm>
            <a:off x="1179147" y="79"/>
            <a:ext cx="0" cy="11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49" name="Rectangle 129">
            <a:extLst>
              <a:ext uri="{FF2B5EF4-FFF2-40B4-BE49-F238E27FC236}">
                <a16:creationId xmlns:a16="http://schemas.microsoft.com/office/drawing/2014/main" id="{D2F25FC7-1949-713D-0B04-D86831704CEE}"/>
              </a:ext>
            </a:extLst>
          </xdr:cNvPr>
          <xdr:cNvSpPr>
            <a:spLocks noChangeArrowheads="1"/>
          </xdr:cNvSpPr>
        </xdr:nvSpPr>
        <xdr:spPr bwMode="auto">
          <a:xfrm>
            <a:off x="1179147" y="79"/>
            <a:ext cx="1" cy="11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150" name="Line 130">
            <a:extLst>
              <a:ext uri="{FF2B5EF4-FFF2-40B4-BE49-F238E27FC236}">
                <a16:creationId xmlns:a16="http://schemas.microsoft.com/office/drawing/2014/main" id="{3EE27C0B-8EFD-564D-6087-A529BE3BE319}"/>
              </a:ext>
            </a:extLst>
          </xdr:cNvPr>
          <xdr:cNvSpPr>
            <a:spLocks noChangeShapeType="1"/>
          </xdr:cNvSpPr>
        </xdr:nvSpPr>
        <xdr:spPr bwMode="auto">
          <a:xfrm>
            <a:off x="1179063" y="79"/>
            <a:ext cx="0" cy="11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51" name="Rectangle 131">
            <a:extLst>
              <a:ext uri="{FF2B5EF4-FFF2-40B4-BE49-F238E27FC236}">
                <a16:creationId xmlns:a16="http://schemas.microsoft.com/office/drawing/2014/main" id="{FA9F64D1-0998-370F-722E-2F3980C72E10}"/>
              </a:ext>
            </a:extLst>
          </xdr:cNvPr>
          <xdr:cNvSpPr>
            <a:spLocks noChangeArrowheads="1"/>
          </xdr:cNvSpPr>
        </xdr:nvSpPr>
        <xdr:spPr bwMode="auto">
          <a:xfrm>
            <a:off x="1179063" y="79"/>
            <a:ext cx="1" cy="11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4</xdr:col>
      <xdr:colOff>676275</xdr:colOff>
      <xdr:row>15</xdr:row>
      <xdr:rowOff>0</xdr:rowOff>
    </xdr:from>
    <xdr:to>
      <xdr:col>6</xdr:col>
      <xdr:colOff>0</xdr:colOff>
      <xdr:row>20</xdr:row>
      <xdr:rowOff>200025</xdr:rowOff>
    </xdr:to>
    <xdr:grpSp>
      <xdr:nvGrpSpPr>
        <xdr:cNvPr id="2152" name="Group 123">
          <a:extLst>
            <a:ext uri="{FF2B5EF4-FFF2-40B4-BE49-F238E27FC236}">
              <a16:creationId xmlns:a16="http://schemas.microsoft.com/office/drawing/2014/main" id="{FB4E5EE9-D2C6-4784-91D8-624C86203A97}"/>
            </a:ext>
          </a:extLst>
        </xdr:cNvPr>
        <xdr:cNvGrpSpPr>
          <a:grpSpLocks noChangeAspect="1"/>
        </xdr:cNvGrpSpPr>
      </xdr:nvGrpSpPr>
      <xdr:grpSpPr bwMode="auto">
        <a:xfrm>
          <a:off x="11230536975" y="2724150"/>
          <a:ext cx="857250" cy="1057275"/>
          <a:chOff x="1179063" y="79"/>
          <a:chExt cx="90" cy="111"/>
        </a:xfrm>
      </xdr:grpSpPr>
      <xdr:sp macro="" textlink="">
        <xdr:nvSpPr>
          <xdr:cNvPr id="2153" name="AutoShape 122">
            <a:extLst>
              <a:ext uri="{FF2B5EF4-FFF2-40B4-BE49-F238E27FC236}">
                <a16:creationId xmlns:a16="http://schemas.microsoft.com/office/drawing/2014/main" id="{79C318DB-D053-212E-F661-F78F51DCC069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1179068" y="79"/>
            <a:ext cx="85" cy="11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154" name="Line 124">
            <a:extLst>
              <a:ext uri="{FF2B5EF4-FFF2-40B4-BE49-F238E27FC236}">
                <a16:creationId xmlns:a16="http://schemas.microsoft.com/office/drawing/2014/main" id="{82A55B7F-2B49-584D-A491-26A1DDD6B8F1}"/>
              </a:ext>
            </a:extLst>
          </xdr:cNvPr>
          <xdr:cNvSpPr>
            <a:spLocks noChangeShapeType="1"/>
          </xdr:cNvSpPr>
        </xdr:nvSpPr>
        <xdr:spPr bwMode="auto">
          <a:xfrm>
            <a:off x="1179064" y="79"/>
            <a:ext cx="84" cy="0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55" name="Rectangle 125">
            <a:extLst>
              <a:ext uri="{FF2B5EF4-FFF2-40B4-BE49-F238E27FC236}">
                <a16:creationId xmlns:a16="http://schemas.microsoft.com/office/drawing/2014/main" id="{9AB9AE4D-D615-A102-FE20-AF2BADE1029C}"/>
              </a:ext>
            </a:extLst>
          </xdr:cNvPr>
          <xdr:cNvSpPr>
            <a:spLocks noChangeArrowheads="1"/>
          </xdr:cNvSpPr>
        </xdr:nvSpPr>
        <xdr:spPr bwMode="auto">
          <a:xfrm>
            <a:off x="1179064" y="79"/>
            <a:ext cx="84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156" name="Line 126">
            <a:extLst>
              <a:ext uri="{FF2B5EF4-FFF2-40B4-BE49-F238E27FC236}">
                <a16:creationId xmlns:a16="http://schemas.microsoft.com/office/drawing/2014/main" id="{85EF0FDE-805A-0DEA-C038-DB76B8A21D99}"/>
              </a:ext>
            </a:extLst>
          </xdr:cNvPr>
          <xdr:cNvSpPr>
            <a:spLocks noChangeShapeType="1"/>
          </xdr:cNvSpPr>
        </xdr:nvSpPr>
        <xdr:spPr bwMode="auto">
          <a:xfrm>
            <a:off x="1179064" y="189"/>
            <a:ext cx="84" cy="0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57" name="Rectangle 127">
            <a:extLst>
              <a:ext uri="{FF2B5EF4-FFF2-40B4-BE49-F238E27FC236}">
                <a16:creationId xmlns:a16="http://schemas.microsoft.com/office/drawing/2014/main" id="{7D23A539-D15A-4846-95C4-8290CE59EDBA}"/>
              </a:ext>
            </a:extLst>
          </xdr:cNvPr>
          <xdr:cNvSpPr>
            <a:spLocks noChangeArrowheads="1"/>
          </xdr:cNvSpPr>
        </xdr:nvSpPr>
        <xdr:spPr bwMode="auto">
          <a:xfrm>
            <a:off x="1179064" y="189"/>
            <a:ext cx="84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158" name="Line 128">
            <a:extLst>
              <a:ext uri="{FF2B5EF4-FFF2-40B4-BE49-F238E27FC236}">
                <a16:creationId xmlns:a16="http://schemas.microsoft.com/office/drawing/2014/main" id="{C7909372-772D-3A4C-AE55-EBC4D7C00829}"/>
              </a:ext>
            </a:extLst>
          </xdr:cNvPr>
          <xdr:cNvSpPr>
            <a:spLocks noChangeShapeType="1"/>
          </xdr:cNvSpPr>
        </xdr:nvSpPr>
        <xdr:spPr bwMode="auto">
          <a:xfrm>
            <a:off x="1179147" y="79"/>
            <a:ext cx="0" cy="11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59" name="Rectangle 129">
            <a:extLst>
              <a:ext uri="{FF2B5EF4-FFF2-40B4-BE49-F238E27FC236}">
                <a16:creationId xmlns:a16="http://schemas.microsoft.com/office/drawing/2014/main" id="{C14AB31C-F366-49EB-0396-F014EB238927}"/>
              </a:ext>
            </a:extLst>
          </xdr:cNvPr>
          <xdr:cNvSpPr>
            <a:spLocks noChangeArrowheads="1"/>
          </xdr:cNvSpPr>
        </xdr:nvSpPr>
        <xdr:spPr bwMode="auto">
          <a:xfrm>
            <a:off x="1179147" y="79"/>
            <a:ext cx="1" cy="11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160" name="Line 130">
            <a:extLst>
              <a:ext uri="{FF2B5EF4-FFF2-40B4-BE49-F238E27FC236}">
                <a16:creationId xmlns:a16="http://schemas.microsoft.com/office/drawing/2014/main" id="{FD1416BF-6A04-056C-7521-D0FDA80C00F1}"/>
              </a:ext>
            </a:extLst>
          </xdr:cNvPr>
          <xdr:cNvSpPr>
            <a:spLocks noChangeShapeType="1"/>
          </xdr:cNvSpPr>
        </xdr:nvSpPr>
        <xdr:spPr bwMode="auto">
          <a:xfrm>
            <a:off x="1179063" y="79"/>
            <a:ext cx="0" cy="11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61" name="Rectangle 131">
            <a:extLst>
              <a:ext uri="{FF2B5EF4-FFF2-40B4-BE49-F238E27FC236}">
                <a16:creationId xmlns:a16="http://schemas.microsoft.com/office/drawing/2014/main" id="{52900BAA-41CF-C555-D903-CE42FD77E080}"/>
              </a:ext>
            </a:extLst>
          </xdr:cNvPr>
          <xdr:cNvSpPr>
            <a:spLocks noChangeArrowheads="1"/>
          </xdr:cNvSpPr>
        </xdr:nvSpPr>
        <xdr:spPr bwMode="auto">
          <a:xfrm>
            <a:off x="1179063" y="79"/>
            <a:ext cx="1" cy="11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11</xdr:col>
      <xdr:colOff>685800</xdr:colOff>
      <xdr:row>15</xdr:row>
      <xdr:rowOff>0</xdr:rowOff>
    </xdr:from>
    <xdr:to>
      <xdr:col>12</xdr:col>
      <xdr:colOff>771525</xdr:colOff>
      <xdr:row>20</xdr:row>
      <xdr:rowOff>200025</xdr:rowOff>
    </xdr:to>
    <xdr:grpSp>
      <xdr:nvGrpSpPr>
        <xdr:cNvPr id="2162" name="Group 123">
          <a:extLst>
            <a:ext uri="{FF2B5EF4-FFF2-40B4-BE49-F238E27FC236}">
              <a16:creationId xmlns:a16="http://schemas.microsoft.com/office/drawing/2014/main" id="{2016991F-2ADC-407C-B0DB-645EADB1D6D1}"/>
            </a:ext>
          </a:extLst>
        </xdr:cNvPr>
        <xdr:cNvGrpSpPr>
          <a:grpSpLocks noChangeAspect="1"/>
        </xdr:cNvGrpSpPr>
      </xdr:nvGrpSpPr>
      <xdr:grpSpPr bwMode="auto">
        <a:xfrm>
          <a:off x="11227136550" y="2724150"/>
          <a:ext cx="809625" cy="1057275"/>
          <a:chOff x="1179063" y="79"/>
          <a:chExt cx="85" cy="111"/>
        </a:xfrm>
      </xdr:grpSpPr>
      <xdr:sp macro="" textlink="">
        <xdr:nvSpPr>
          <xdr:cNvPr id="2163" name="AutoShape 122">
            <a:extLst>
              <a:ext uri="{FF2B5EF4-FFF2-40B4-BE49-F238E27FC236}">
                <a16:creationId xmlns:a16="http://schemas.microsoft.com/office/drawing/2014/main" id="{CD03755A-891A-873E-3D1F-3AE76D0EABD2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1179063" y="79"/>
            <a:ext cx="85" cy="11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164" name="Line 124">
            <a:extLst>
              <a:ext uri="{FF2B5EF4-FFF2-40B4-BE49-F238E27FC236}">
                <a16:creationId xmlns:a16="http://schemas.microsoft.com/office/drawing/2014/main" id="{BE85B94A-4F42-27AB-53B3-31C5F0EFFABF}"/>
              </a:ext>
            </a:extLst>
          </xdr:cNvPr>
          <xdr:cNvSpPr>
            <a:spLocks noChangeShapeType="1"/>
          </xdr:cNvSpPr>
        </xdr:nvSpPr>
        <xdr:spPr bwMode="auto">
          <a:xfrm>
            <a:off x="1179064" y="79"/>
            <a:ext cx="84" cy="0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65" name="Rectangle 125">
            <a:extLst>
              <a:ext uri="{FF2B5EF4-FFF2-40B4-BE49-F238E27FC236}">
                <a16:creationId xmlns:a16="http://schemas.microsoft.com/office/drawing/2014/main" id="{363646A9-F76C-4554-EB7D-0A6076CBCFCE}"/>
              </a:ext>
            </a:extLst>
          </xdr:cNvPr>
          <xdr:cNvSpPr>
            <a:spLocks noChangeArrowheads="1"/>
          </xdr:cNvSpPr>
        </xdr:nvSpPr>
        <xdr:spPr bwMode="auto">
          <a:xfrm>
            <a:off x="1179064" y="79"/>
            <a:ext cx="84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166" name="Line 126">
            <a:extLst>
              <a:ext uri="{FF2B5EF4-FFF2-40B4-BE49-F238E27FC236}">
                <a16:creationId xmlns:a16="http://schemas.microsoft.com/office/drawing/2014/main" id="{F6AB91CA-AA63-33FA-EB4A-C5C880ECB09C}"/>
              </a:ext>
            </a:extLst>
          </xdr:cNvPr>
          <xdr:cNvSpPr>
            <a:spLocks noChangeShapeType="1"/>
          </xdr:cNvSpPr>
        </xdr:nvSpPr>
        <xdr:spPr bwMode="auto">
          <a:xfrm>
            <a:off x="1179064" y="189"/>
            <a:ext cx="84" cy="0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67" name="Rectangle 127">
            <a:extLst>
              <a:ext uri="{FF2B5EF4-FFF2-40B4-BE49-F238E27FC236}">
                <a16:creationId xmlns:a16="http://schemas.microsoft.com/office/drawing/2014/main" id="{52C38101-3EE3-4968-03DF-6A1B1B602B81}"/>
              </a:ext>
            </a:extLst>
          </xdr:cNvPr>
          <xdr:cNvSpPr>
            <a:spLocks noChangeArrowheads="1"/>
          </xdr:cNvSpPr>
        </xdr:nvSpPr>
        <xdr:spPr bwMode="auto">
          <a:xfrm>
            <a:off x="1179064" y="189"/>
            <a:ext cx="84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168" name="Line 128">
            <a:extLst>
              <a:ext uri="{FF2B5EF4-FFF2-40B4-BE49-F238E27FC236}">
                <a16:creationId xmlns:a16="http://schemas.microsoft.com/office/drawing/2014/main" id="{B203DA0A-B8FC-1893-BC4E-D41189E2619A}"/>
              </a:ext>
            </a:extLst>
          </xdr:cNvPr>
          <xdr:cNvSpPr>
            <a:spLocks noChangeShapeType="1"/>
          </xdr:cNvSpPr>
        </xdr:nvSpPr>
        <xdr:spPr bwMode="auto">
          <a:xfrm>
            <a:off x="1179147" y="79"/>
            <a:ext cx="0" cy="11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69" name="Rectangle 129">
            <a:extLst>
              <a:ext uri="{FF2B5EF4-FFF2-40B4-BE49-F238E27FC236}">
                <a16:creationId xmlns:a16="http://schemas.microsoft.com/office/drawing/2014/main" id="{FDEAF5CD-51A1-E3F7-692A-89DE84F9DFB7}"/>
              </a:ext>
            </a:extLst>
          </xdr:cNvPr>
          <xdr:cNvSpPr>
            <a:spLocks noChangeArrowheads="1"/>
          </xdr:cNvSpPr>
        </xdr:nvSpPr>
        <xdr:spPr bwMode="auto">
          <a:xfrm>
            <a:off x="1179147" y="79"/>
            <a:ext cx="1" cy="11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180" name="Line 130">
            <a:extLst>
              <a:ext uri="{FF2B5EF4-FFF2-40B4-BE49-F238E27FC236}">
                <a16:creationId xmlns:a16="http://schemas.microsoft.com/office/drawing/2014/main" id="{BA917D2E-0CDB-4E17-586A-3D31D8359E1E}"/>
              </a:ext>
            </a:extLst>
          </xdr:cNvPr>
          <xdr:cNvSpPr>
            <a:spLocks noChangeShapeType="1"/>
          </xdr:cNvSpPr>
        </xdr:nvSpPr>
        <xdr:spPr bwMode="auto">
          <a:xfrm>
            <a:off x="1179063" y="79"/>
            <a:ext cx="0" cy="11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81" name="Rectangle 131">
            <a:extLst>
              <a:ext uri="{FF2B5EF4-FFF2-40B4-BE49-F238E27FC236}">
                <a16:creationId xmlns:a16="http://schemas.microsoft.com/office/drawing/2014/main" id="{42C9C368-83DB-C76E-E8CE-9E017BFFA696}"/>
              </a:ext>
            </a:extLst>
          </xdr:cNvPr>
          <xdr:cNvSpPr>
            <a:spLocks noChangeArrowheads="1"/>
          </xdr:cNvSpPr>
        </xdr:nvSpPr>
        <xdr:spPr bwMode="auto">
          <a:xfrm>
            <a:off x="1179063" y="79"/>
            <a:ext cx="1" cy="11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4</xdr:col>
      <xdr:colOff>685800</xdr:colOff>
      <xdr:row>4</xdr:row>
      <xdr:rowOff>0</xdr:rowOff>
    </xdr:from>
    <xdr:to>
      <xdr:col>6</xdr:col>
      <xdr:colOff>0</xdr:colOff>
      <xdr:row>9</xdr:row>
      <xdr:rowOff>200025</xdr:rowOff>
    </xdr:to>
    <xdr:grpSp>
      <xdr:nvGrpSpPr>
        <xdr:cNvPr id="2182" name="Group 123">
          <a:extLst>
            <a:ext uri="{FF2B5EF4-FFF2-40B4-BE49-F238E27FC236}">
              <a16:creationId xmlns:a16="http://schemas.microsoft.com/office/drawing/2014/main" id="{F865A58C-1CB2-49D0-B1A4-7205BA8747FB}"/>
            </a:ext>
          </a:extLst>
        </xdr:cNvPr>
        <xdr:cNvGrpSpPr>
          <a:grpSpLocks noChangeAspect="1"/>
        </xdr:cNvGrpSpPr>
      </xdr:nvGrpSpPr>
      <xdr:grpSpPr bwMode="auto">
        <a:xfrm>
          <a:off x="11230536975" y="733425"/>
          <a:ext cx="847725" cy="1057275"/>
          <a:chOff x="1179063" y="79"/>
          <a:chExt cx="89" cy="111"/>
        </a:xfrm>
      </xdr:grpSpPr>
      <xdr:sp macro="" textlink="">
        <xdr:nvSpPr>
          <xdr:cNvPr id="2183" name="AutoShape 122">
            <a:extLst>
              <a:ext uri="{FF2B5EF4-FFF2-40B4-BE49-F238E27FC236}">
                <a16:creationId xmlns:a16="http://schemas.microsoft.com/office/drawing/2014/main" id="{A8FA41E2-0648-D705-2CD2-149A32552BF1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1179067" y="79"/>
            <a:ext cx="85" cy="11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184" name="Line 124">
            <a:extLst>
              <a:ext uri="{FF2B5EF4-FFF2-40B4-BE49-F238E27FC236}">
                <a16:creationId xmlns:a16="http://schemas.microsoft.com/office/drawing/2014/main" id="{47634354-BA0E-39DD-4AAA-8A7057CD29A0}"/>
              </a:ext>
            </a:extLst>
          </xdr:cNvPr>
          <xdr:cNvSpPr>
            <a:spLocks noChangeShapeType="1"/>
          </xdr:cNvSpPr>
        </xdr:nvSpPr>
        <xdr:spPr bwMode="auto">
          <a:xfrm>
            <a:off x="1179064" y="79"/>
            <a:ext cx="84" cy="0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85" name="Rectangle 125">
            <a:extLst>
              <a:ext uri="{FF2B5EF4-FFF2-40B4-BE49-F238E27FC236}">
                <a16:creationId xmlns:a16="http://schemas.microsoft.com/office/drawing/2014/main" id="{EC78D5CC-CC50-86DC-DA09-79124D020569}"/>
              </a:ext>
            </a:extLst>
          </xdr:cNvPr>
          <xdr:cNvSpPr>
            <a:spLocks noChangeArrowheads="1"/>
          </xdr:cNvSpPr>
        </xdr:nvSpPr>
        <xdr:spPr bwMode="auto">
          <a:xfrm>
            <a:off x="1179064" y="79"/>
            <a:ext cx="84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186" name="Line 126">
            <a:extLst>
              <a:ext uri="{FF2B5EF4-FFF2-40B4-BE49-F238E27FC236}">
                <a16:creationId xmlns:a16="http://schemas.microsoft.com/office/drawing/2014/main" id="{49F9D50B-66A1-A9FD-5283-9E1F346E2F94}"/>
              </a:ext>
            </a:extLst>
          </xdr:cNvPr>
          <xdr:cNvSpPr>
            <a:spLocks noChangeShapeType="1"/>
          </xdr:cNvSpPr>
        </xdr:nvSpPr>
        <xdr:spPr bwMode="auto">
          <a:xfrm>
            <a:off x="1179064" y="189"/>
            <a:ext cx="84" cy="0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87" name="Rectangle 127">
            <a:extLst>
              <a:ext uri="{FF2B5EF4-FFF2-40B4-BE49-F238E27FC236}">
                <a16:creationId xmlns:a16="http://schemas.microsoft.com/office/drawing/2014/main" id="{4D431F24-DC62-5079-8216-A6554E0E46B4}"/>
              </a:ext>
            </a:extLst>
          </xdr:cNvPr>
          <xdr:cNvSpPr>
            <a:spLocks noChangeArrowheads="1"/>
          </xdr:cNvSpPr>
        </xdr:nvSpPr>
        <xdr:spPr bwMode="auto">
          <a:xfrm>
            <a:off x="1179064" y="189"/>
            <a:ext cx="84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188" name="Line 128">
            <a:extLst>
              <a:ext uri="{FF2B5EF4-FFF2-40B4-BE49-F238E27FC236}">
                <a16:creationId xmlns:a16="http://schemas.microsoft.com/office/drawing/2014/main" id="{71E57F50-61BA-CC1C-C2FB-885059B39430}"/>
              </a:ext>
            </a:extLst>
          </xdr:cNvPr>
          <xdr:cNvSpPr>
            <a:spLocks noChangeShapeType="1"/>
          </xdr:cNvSpPr>
        </xdr:nvSpPr>
        <xdr:spPr bwMode="auto">
          <a:xfrm>
            <a:off x="1179147" y="79"/>
            <a:ext cx="0" cy="11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89" name="Rectangle 129">
            <a:extLst>
              <a:ext uri="{FF2B5EF4-FFF2-40B4-BE49-F238E27FC236}">
                <a16:creationId xmlns:a16="http://schemas.microsoft.com/office/drawing/2014/main" id="{88B1787A-5C7F-8E62-99C5-F605FD0231D3}"/>
              </a:ext>
            </a:extLst>
          </xdr:cNvPr>
          <xdr:cNvSpPr>
            <a:spLocks noChangeArrowheads="1"/>
          </xdr:cNvSpPr>
        </xdr:nvSpPr>
        <xdr:spPr bwMode="auto">
          <a:xfrm>
            <a:off x="1179147" y="79"/>
            <a:ext cx="1" cy="11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190" name="Line 130">
            <a:extLst>
              <a:ext uri="{FF2B5EF4-FFF2-40B4-BE49-F238E27FC236}">
                <a16:creationId xmlns:a16="http://schemas.microsoft.com/office/drawing/2014/main" id="{63B5EBB1-176E-D68F-1DCC-A13A64275896}"/>
              </a:ext>
            </a:extLst>
          </xdr:cNvPr>
          <xdr:cNvSpPr>
            <a:spLocks noChangeShapeType="1"/>
          </xdr:cNvSpPr>
        </xdr:nvSpPr>
        <xdr:spPr bwMode="auto">
          <a:xfrm>
            <a:off x="1179063" y="79"/>
            <a:ext cx="0" cy="11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91" name="Rectangle 131">
            <a:extLst>
              <a:ext uri="{FF2B5EF4-FFF2-40B4-BE49-F238E27FC236}">
                <a16:creationId xmlns:a16="http://schemas.microsoft.com/office/drawing/2014/main" id="{9388F713-78E4-5268-FD75-8811202897E4}"/>
              </a:ext>
            </a:extLst>
          </xdr:cNvPr>
          <xdr:cNvSpPr>
            <a:spLocks noChangeArrowheads="1"/>
          </xdr:cNvSpPr>
        </xdr:nvSpPr>
        <xdr:spPr bwMode="auto">
          <a:xfrm>
            <a:off x="1179063" y="79"/>
            <a:ext cx="1" cy="11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11</xdr:col>
      <xdr:colOff>695325</xdr:colOff>
      <xdr:row>4</xdr:row>
      <xdr:rowOff>0</xdr:rowOff>
    </xdr:from>
    <xdr:to>
      <xdr:col>12</xdr:col>
      <xdr:colOff>781050</xdr:colOff>
      <xdr:row>9</xdr:row>
      <xdr:rowOff>200025</xdr:rowOff>
    </xdr:to>
    <xdr:grpSp>
      <xdr:nvGrpSpPr>
        <xdr:cNvPr id="2192" name="Group 123">
          <a:extLst>
            <a:ext uri="{FF2B5EF4-FFF2-40B4-BE49-F238E27FC236}">
              <a16:creationId xmlns:a16="http://schemas.microsoft.com/office/drawing/2014/main" id="{9B03E9F3-4F33-4389-979D-866DFEA25C9F}"/>
            </a:ext>
          </a:extLst>
        </xdr:cNvPr>
        <xdr:cNvGrpSpPr>
          <a:grpSpLocks noChangeAspect="1"/>
        </xdr:cNvGrpSpPr>
      </xdr:nvGrpSpPr>
      <xdr:grpSpPr bwMode="auto">
        <a:xfrm>
          <a:off x="11227127025" y="733425"/>
          <a:ext cx="809625" cy="1057275"/>
          <a:chOff x="1179063" y="79"/>
          <a:chExt cx="85" cy="111"/>
        </a:xfrm>
      </xdr:grpSpPr>
      <xdr:sp macro="" textlink="">
        <xdr:nvSpPr>
          <xdr:cNvPr id="2193" name="AutoShape 122">
            <a:extLst>
              <a:ext uri="{FF2B5EF4-FFF2-40B4-BE49-F238E27FC236}">
                <a16:creationId xmlns:a16="http://schemas.microsoft.com/office/drawing/2014/main" id="{D517924E-79A3-1170-4829-0F92B7156326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1179063" y="79"/>
            <a:ext cx="85" cy="11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194" name="Line 124">
            <a:extLst>
              <a:ext uri="{FF2B5EF4-FFF2-40B4-BE49-F238E27FC236}">
                <a16:creationId xmlns:a16="http://schemas.microsoft.com/office/drawing/2014/main" id="{FD2FD56D-FEBB-188B-99C6-862B9AFA005E}"/>
              </a:ext>
            </a:extLst>
          </xdr:cNvPr>
          <xdr:cNvSpPr>
            <a:spLocks noChangeShapeType="1"/>
          </xdr:cNvSpPr>
        </xdr:nvSpPr>
        <xdr:spPr bwMode="auto">
          <a:xfrm>
            <a:off x="1179064" y="79"/>
            <a:ext cx="84" cy="0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95" name="Rectangle 125">
            <a:extLst>
              <a:ext uri="{FF2B5EF4-FFF2-40B4-BE49-F238E27FC236}">
                <a16:creationId xmlns:a16="http://schemas.microsoft.com/office/drawing/2014/main" id="{61EB220E-0F7A-873E-F97C-4EED2F753505}"/>
              </a:ext>
            </a:extLst>
          </xdr:cNvPr>
          <xdr:cNvSpPr>
            <a:spLocks noChangeArrowheads="1"/>
          </xdr:cNvSpPr>
        </xdr:nvSpPr>
        <xdr:spPr bwMode="auto">
          <a:xfrm>
            <a:off x="1179064" y="79"/>
            <a:ext cx="84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196" name="Line 126">
            <a:extLst>
              <a:ext uri="{FF2B5EF4-FFF2-40B4-BE49-F238E27FC236}">
                <a16:creationId xmlns:a16="http://schemas.microsoft.com/office/drawing/2014/main" id="{FE01FB8B-7A6D-A701-EACC-F10ACB962027}"/>
              </a:ext>
            </a:extLst>
          </xdr:cNvPr>
          <xdr:cNvSpPr>
            <a:spLocks noChangeShapeType="1"/>
          </xdr:cNvSpPr>
        </xdr:nvSpPr>
        <xdr:spPr bwMode="auto">
          <a:xfrm>
            <a:off x="1179064" y="189"/>
            <a:ext cx="84" cy="0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97" name="Rectangle 127">
            <a:extLst>
              <a:ext uri="{FF2B5EF4-FFF2-40B4-BE49-F238E27FC236}">
                <a16:creationId xmlns:a16="http://schemas.microsoft.com/office/drawing/2014/main" id="{E1711813-9D3F-530D-9127-69345B5FA6C2}"/>
              </a:ext>
            </a:extLst>
          </xdr:cNvPr>
          <xdr:cNvSpPr>
            <a:spLocks noChangeArrowheads="1"/>
          </xdr:cNvSpPr>
        </xdr:nvSpPr>
        <xdr:spPr bwMode="auto">
          <a:xfrm>
            <a:off x="1179064" y="189"/>
            <a:ext cx="84" cy="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198" name="Line 128">
            <a:extLst>
              <a:ext uri="{FF2B5EF4-FFF2-40B4-BE49-F238E27FC236}">
                <a16:creationId xmlns:a16="http://schemas.microsoft.com/office/drawing/2014/main" id="{E57F7B34-6B8E-7211-9198-4CF439AC0D73}"/>
              </a:ext>
            </a:extLst>
          </xdr:cNvPr>
          <xdr:cNvSpPr>
            <a:spLocks noChangeShapeType="1"/>
          </xdr:cNvSpPr>
        </xdr:nvSpPr>
        <xdr:spPr bwMode="auto">
          <a:xfrm>
            <a:off x="1179147" y="79"/>
            <a:ext cx="0" cy="11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99" name="Rectangle 129">
            <a:extLst>
              <a:ext uri="{FF2B5EF4-FFF2-40B4-BE49-F238E27FC236}">
                <a16:creationId xmlns:a16="http://schemas.microsoft.com/office/drawing/2014/main" id="{A970C35B-1C2E-7694-A34C-335631DD9B34}"/>
              </a:ext>
            </a:extLst>
          </xdr:cNvPr>
          <xdr:cNvSpPr>
            <a:spLocks noChangeArrowheads="1"/>
          </xdr:cNvSpPr>
        </xdr:nvSpPr>
        <xdr:spPr bwMode="auto">
          <a:xfrm>
            <a:off x="1179147" y="79"/>
            <a:ext cx="1" cy="11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200" name="Line 130">
            <a:extLst>
              <a:ext uri="{FF2B5EF4-FFF2-40B4-BE49-F238E27FC236}">
                <a16:creationId xmlns:a16="http://schemas.microsoft.com/office/drawing/2014/main" id="{A3815373-DEBC-3337-ABB9-999B2206A3BC}"/>
              </a:ext>
            </a:extLst>
          </xdr:cNvPr>
          <xdr:cNvSpPr>
            <a:spLocks noChangeShapeType="1"/>
          </xdr:cNvSpPr>
        </xdr:nvSpPr>
        <xdr:spPr bwMode="auto">
          <a:xfrm>
            <a:off x="1179063" y="79"/>
            <a:ext cx="0" cy="111"/>
          </a:xfrm>
          <a:prstGeom prst="line">
            <a:avLst/>
          </a:prstGeom>
          <a:noFill/>
          <a:ln w="0">
            <a:solidFill>
              <a:srgbClr val="D4D4D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01" name="Rectangle 131">
            <a:extLst>
              <a:ext uri="{FF2B5EF4-FFF2-40B4-BE49-F238E27FC236}">
                <a16:creationId xmlns:a16="http://schemas.microsoft.com/office/drawing/2014/main" id="{02F35A9B-EBDD-C5FE-FB1F-F377AE0C0AAA}"/>
              </a:ext>
            </a:extLst>
          </xdr:cNvPr>
          <xdr:cNvSpPr>
            <a:spLocks noChangeArrowheads="1"/>
          </xdr:cNvSpPr>
        </xdr:nvSpPr>
        <xdr:spPr bwMode="auto">
          <a:xfrm>
            <a:off x="1179063" y="79"/>
            <a:ext cx="1" cy="111"/>
          </a:xfrm>
          <a:prstGeom prst="rect">
            <a:avLst/>
          </a:prstGeom>
          <a:solidFill>
            <a:srgbClr val="D4D4D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0</xdr:col>
      <xdr:colOff>47625</xdr:colOff>
      <xdr:row>55</xdr:row>
      <xdr:rowOff>95250</xdr:rowOff>
    </xdr:from>
    <xdr:to>
      <xdr:col>2</xdr:col>
      <xdr:colOff>38100</xdr:colOff>
      <xdr:row>56</xdr:row>
      <xdr:rowOff>152400</xdr:rowOff>
    </xdr:to>
    <xdr:sp macro="" textlink="">
      <xdr:nvSpPr>
        <xdr:cNvPr id="2171" name="مستطيل: زوايا مستديرة 2170">
          <a:extLst>
            <a:ext uri="{FF2B5EF4-FFF2-40B4-BE49-F238E27FC236}">
              <a16:creationId xmlns:a16="http://schemas.microsoft.com/office/drawing/2014/main" id="{8E5AAA14-42E0-F23C-B503-199D7690332D}"/>
            </a:ext>
          </a:extLst>
        </xdr:cNvPr>
        <xdr:cNvSpPr/>
      </xdr:nvSpPr>
      <xdr:spPr>
        <a:xfrm>
          <a:off x="11232851550" y="10134600"/>
          <a:ext cx="742950" cy="228600"/>
        </a:xfrm>
        <a:prstGeom prst="roundRect">
          <a:avLst/>
        </a:prstGeom>
        <a:ln w="952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ctr" rtl="1"/>
          <a:r>
            <a:rPr lang="ar-DZ" sz="900" b="1">
              <a:cs typeface="+mn-cs"/>
            </a:rPr>
            <a:t>أكتوبر 2026</a:t>
          </a:r>
        </a:p>
      </xdr:txBody>
    </xdr:sp>
    <xdr:clientData/>
  </xdr:twoCellAnchor>
  <xdr:twoCellAnchor>
    <xdr:from>
      <xdr:col>2</xdr:col>
      <xdr:colOff>38100</xdr:colOff>
      <xdr:row>55</xdr:row>
      <xdr:rowOff>95250</xdr:rowOff>
    </xdr:from>
    <xdr:to>
      <xdr:col>3</xdr:col>
      <xdr:colOff>152400</xdr:colOff>
      <xdr:row>56</xdr:row>
      <xdr:rowOff>152400</xdr:rowOff>
    </xdr:to>
    <xdr:sp macro="" textlink="">
      <xdr:nvSpPr>
        <xdr:cNvPr id="2172" name="مستطيل: زوايا مستديرة 2171">
          <a:extLst>
            <a:ext uri="{FF2B5EF4-FFF2-40B4-BE49-F238E27FC236}">
              <a16:creationId xmlns:a16="http://schemas.microsoft.com/office/drawing/2014/main" id="{65AE669E-0050-4DC9-8C4A-64074F52E626}"/>
            </a:ext>
          </a:extLst>
        </xdr:cNvPr>
        <xdr:cNvSpPr/>
      </xdr:nvSpPr>
      <xdr:spPr>
        <a:xfrm>
          <a:off x="11232108600" y="10134600"/>
          <a:ext cx="742950" cy="228600"/>
        </a:xfrm>
        <a:prstGeom prst="roundRect">
          <a:avLst/>
        </a:prstGeom>
        <a:ln w="952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ctr" rtl="1"/>
          <a:r>
            <a:rPr lang="ar-DZ" sz="900" b="1">
              <a:cs typeface="+mn-cs"/>
            </a:rPr>
            <a:t>نوفمبر 2026</a:t>
          </a:r>
        </a:p>
      </xdr:txBody>
    </xdr:sp>
    <xdr:clientData/>
  </xdr:twoCellAnchor>
  <xdr:twoCellAnchor>
    <xdr:from>
      <xdr:col>3</xdr:col>
      <xdr:colOff>152400</xdr:colOff>
      <xdr:row>55</xdr:row>
      <xdr:rowOff>95249</xdr:rowOff>
    </xdr:from>
    <xdr:to>
      <xdr:col>5</xdr:col>
      <xdr:colOff>19050</xdr:colOff>
      <xdr:row>56</xdr:row>
      <xdr:rowOff>142874</xdr:rowOff>
    </xdr:to>
    <xdr:sp macro="" textlink="">
      <xdr:nvSpPr>
        <xdr:cNvPr id="2173" name="مستطيل: زوايا مستديرة 2172">
          <a:extLst>
            <a:ext uri="{FF2B5EF4-FFF2-40B4-BE49-F238E27FC236}">
              <a16:creationId xmlns:a16="http://schemas.microsoft.com/office/drawing/2014/main" id="{DD3723A7-8B33-4D9C-8A9E-1BE8329C7260}"/>
            </a:ext>
          </a:extLst>
        </xdr:cNvPr>
        <xdr:cNvSpPr/>
      </xdr:nvSpPr>
      <xdr:spPr>
        <a:xfrm>
          <a:off x="11231327550" y="10134599"/>
          <a:ext cx="781050" cy="219075"/>
        </a:xfrm>
        <a:prstGeom prst="roundRect">
          <a:avLst/>
        </a:prstGeom>
        <a:ln w="952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ctr" rtl="1"/>
          <a:r>
            <a:rPr lang="ar-DZ" sz="900" b="1">
              <a:cs typeface="+mn-cs"/>
            </a:rPr>
            <a:t>ديسمبر 2026</a:t>
          </a:r>
        </a:p>
      </xdr:txBody>
    </xdr:sp>
    <xdr:clientData/>
  </xdr:twoCellAnchor>
  <xdr:twoCellAnchor>
    <xdr:from>
      <xdr:col>5</xdr:col>
      <xdr:colOff>19050</xdr:colOff>
      <xdr:row>55</xdr:row>
      <xdr:rowOff>95250</xdr:rowOff>
    </xdr:from>
    <xdr:to>
      <xdr:col>5</xdr:col>
      <xdr:colOff>762000</xdr:colOff>
      <xdr:row>56</xdr:row>
      <xdr:rowOff>152400</xdr:rowOff>
    </xdr:to>
    <xdr:sp macro="" textlink="">
      <xdr:nvSpPr>
        <xdr:cNvPr id="2174" name="مستطيل: زوايا مستديرة 2173">
          <a:extLst>
            <a:ext uri="{FF2B5EF4-FFF2-40B4-BE49-F238E27FC236}">
              <a16:creationId xmlns:a16="http://schemas.microsoft.com/office/drawing/2014/main" id="{3057DB14-091B-4178-9A41-BBA49A96E956}"/>
            </a:ext>
          </a:extLst>
        </xdr:cNvPr>
        <xdr:cNvSpPr/>
      </xdr:nvSpPr>
      <xdr:spPr>
        <a:xfrm>
          <a:off x="11230584600" y="10134600"/>
          <a:ext cx="742950" cy="228600"/>
        </a:xfrm>
        <a:prstGeom prst="roundRect">
          <a:avLst/>
        </a:prstGeom>
        <a:ln w="952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ctr" rtl="1"/>
          <a:r>
            <a:rPr lang="ar-DZ" sz="900" b="1">
              <a:cs typeface="+mn-cs"/>
            </a:rPr>
            <a:t>جانفي 2027</a:t>
          </a:r>
        </a:p>
      </xdr:txBody>
    </xdr:sp>
    <xdr:clientData/>
  </xdr:twoCellAnchor>
  <xdr:twoCellAnchor>
    <xdr:from>
      <xdr:col>0</xdr:col>
      <xdr:colOff>57150</xdr:colOff>
      <xdr:row>57</xdr:row>
      <xdr:rowOff>38100</xdr:rowOff>
    </xdr:from>
    <xdr:to>
      <xdr:col>2</xdr:col>
      <xdr:colOff>47625</xdr:colOff>
      <xdr:row>58</xdr:row>
      <xdr:rowOff>95250</xdr:rowOff>
    </xdr:to>
    <xdr:sp macro="" textlink="">
      <xdr:nvSpPr>
        <xdr:cNvPr id="2175" name="مستطيل: زوايا مستديرة 2174">
          <a:extLst>
            <a:ext uri="{FF2B5EF4-FFF2-40B4-BE49-F238E27FC236}">
              <a16:creationId xmlns:a16="http://schemas.microsoft.com/office/drawing/2014/main" id="{36AA2974-A318-465E-B0EB-538A6BBD1046}"/>
            </a:ext>
          </a:extLst>
        </xdr:cNvPr>
        <xdr:cNvSpPr/>
      </xdr:nvSpPr>
      <xdr:spPr>
        <a:xfrm>
          <a:off x="11232842025" y="10420350"/>
          <a:ext cx="742950" cy="228600"/>
        </a:xfrm>
        <a:prstGeom prst="roundRect">
          <a:avLst/>
        </a:prstGeom>
        <a:ln w="952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ctr" rtl="1"/>
          <a:r>
            <a:rPr lang="ar-DZ" sz="900" b="1">
              <a:cs typeface="+mn-cs"/>
            </a:rPr>
            <a:t>فيفري 2027</a:t>
          </a:r>
        </a:p>
      </xdr:txBody>
    </xdr:sp>
    <xdr:clientData/>
  </xdr:twoCellAnchor>
  <xdr:twoCellAnchor>
    <xdr:from>
      <xdr:col>2</xdr:col>
      <xdr:colOff>47625</xdr:colOff>
      <xdr:row>57</xdr:row>
      <xdr:rowOff>38100</xdr:rowOff>
    </xdr:from>
    <xdr:to>
      <xdr:col>3</xdr:col>
      <xdr:colOff>161925</xdr:colOff>
      <xdr:row>58</xdr:row>
      <xdr:rowOff>95250</xdr:rowOff>
    </xdr:to>
    <xdr:sp macro="" textlink="">
      <xdr:nvSpPr>
        <xdr:cNvPr id="2176" name="مستطيل: زوايا مستديرة 2175">
          <a:extLst>
            <a:ext uri="{FF2B5EF4-FFF2-40B4-BE49-F238E27FC236}">
              <a16:creationId xmlns:a16="http://schemas.microsoft.com/office/drawing/2014/main" id="{2A0E2E2D-4623-47B6-AD75-63FD85E452C9}"/>
            </a:ext>
          </a:extLst>
        </xdr:cNvPr>
        <xdr:cNvSpPr/>
      </xdr:nvSpPr>
      <xdr:spPr>
        <a:xfrm>
          <a:off x="11232099075" y="10420350"/>
          <a:ext cx="742950" cy="228600"/>
        </a:xfrm>
        <a:prstGeom prst="roundRect">
          <a:avLst/>
        </a:prstGeom>
        <a:ln w="952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ctr" rtl="1"/>
          <a:r>
            <a:rPr lang="ar-DZ" sz="900" b="1">
              <a:cs typeface="+mn-cs"/>
            </a:rPr>
            <a:t>مارس 2027</a:t>
          </a:r>
        </a:p>
      </xdr:txBody>
    </xdr:sp>
    <xdr:clientData/>
  </xdr:twoCellAnchor>
  <xdr:twoCellAnchor>
    <xdr:from>
      <xdr:col>3</xdr:col>
      <xdr:colOff>161925</xdr:colOff>
      <xdr:row>57</xdr:row>
      <xdr:rowOff>38100</xdr:rowOff>
    </xdr:from>
    <xdr:to>
      <xdr:col>5</xdr:col>
      <xdr:colOff>9525</xdr:colOff>
      <xdr:row>58</xdr:row>
      <xdr:rowOff>95250</xdr:rowOff>
    </xdr:to>
    <xdr:sp macro="" textlink="">
      <xdr:nvSpPr>
        <xdr:cNvPr id="2177" name="مستطيل: زوايا مستديرة 2176">
          <a:extLst>
            <a:ext uri="{FF2B5EF4-FFF2-40B4-BE49-F238E27FC236}">
              <a16:creationId xmlns:a16="http://schemas.microsoft.com/office/drawing/2014/main" id="{3A705D6A-A07C-43C8-80DB-EAC911B426DF}"/>
            </a:ext>
          </a:extLst>
        </xdr:cNvPr>
        <xdr:cNvSpPr/>
      </xdr:nvSpPr>
      <xdr:spPr>
        <a:xfrm>
          <a:off x="11231337075" y="10420350"/>
          <a:ext cx="762000" cy="228600"/>
        </a:xfrm>
        <a:prstGeom prst="roundRect">
          <a:avLst/>
        </a:prstGeom>
        <a:ln w="952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ctr" rtl="1"/>
          <a:r>
            <a:rPr lang="ar-DZ" sz="900" b="1">
              <a:cs typeface="+mn-cs"/>
            </a:rPr>
            <a:t>أفريل 2027</a:t>
          </a:r>
        </a:p>
      </xdr:txBody>
    </xdr:sp>
    <xdr:clientData/>
  </xdr:twoCellAnchor>
  <xdr:twoCellAnchor>
    <xdr:from>
      <xdr:col>5</xdr:col>
      <xdr:colOff>9525</xdr:colOff>
      <xdr:row>57</xdr:row>
      <xdr:rowOff>38100</xdr:rowOff>
    </xdr:from>
    <xdr:to>
      <xdr:col>5</xdr:col>
      <xdr:colOff>752475</xdr:colOff>
      <xdr:row>58</xdr:row>
      <xdr:rowOff>95250</xdr:rowOff>
    </xdr:to>
    <xdr:sp macro="" textlink="">
      <xdr:nvSpPr>
        <xdr:cNvPr id="2178" name="مستطيل: زوايا مستديرة 2177">
          <a:extLst>
            <a:ext uri="{FF2B5EF4-FFF2-40B4-BE49-F238E27FC236}">
              <a16:creationId xmlns:a16="http://schemas.microsoft.com/office/drawing/2014/main" id="{C83494EE-BF6D-4F4D-ABB7-D4B002D250FD}"/>
            </a:ext>
          </a:extLst>
        </xdr:cNvPr>
        <xdr:cNvSpPr/>
      </xdr:nvSpPr>
      <xdr:spPr>
        <a:xfrm>
          <a:off x="11230594125" y="10420350"/>
          <a:ext cx="742950" cy="228600"/>
        </a:xfrm>
        <a:prstGeom prst="roundRect">
          <a:avLst/>
        </a:prstGeom>
        <a:ln w="952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ctr" rtl="1"/>
          <a:r>
            <a:rPr lang="ar-DZ" sz="900" b="1">
              <a:cs typeface="+mn-cs"/>
            </a:rPr>
            <a:t>ماي 2027</a:t>
          </a:r>
        </a:p>
      </xdr:txBody>
    </xdr:sp>
    <xdr:clientData/>
  </xdr:twoCellAnchor>
  <xdr:twoCellAnchor>
    <xdr:from>
      <xdr:col>0</xdr:col>
      <xdr:colOff>57150</xdr:colOff>
      <xdr:row>58</xdr:row>
      <xdr:rowOff>152400</xdr:rowOff>
    </xdr:from>
    <xdr:to>
      <xdr:col>2</xdr:col>
      <xdr:colOff>47625</xdr:colOff>
      <xdr:row>59</xdr:row>
      <xdr:rowOff>133350</xdr:rowOff>
    </xdr:to>
    <xdr:sp macro="" textlink="">
      <xdr:nvSpPr>
        <xdr:cNvPr id="2179" name="مستطيل: زوايا مستديرة 2178">
          <a:extLst>
            <a:ext uri="{FF2B5EF4-FFF2-40B4-BE49-F238E27FC236}">
              <a16:creationId xmlns:a16="http://schemas.microsoft.com/office/drawing/2014/main" id="{5F9FFF19-2895-42A0-B2E5-4EF793D8161F}"/>
            </a:ext>
          </a:extLst>
        </xdr:cNvPr>
        <xdr:cNvSpPr/>
      </xdr:nvSpPr>
      <xdr:spPr>
        <a:xfrm>
          <a:off x="11232842025" y="10706100"/>
          <a:ext cx="742950" cy="228600"/>
        </a:xfrm>
        <a:prstGeom prst="roundRect">
          <a:avLst/>
        </a:prstGeom>
        <a:ln w="952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ctr" rtl="1"/>
          <a:r>
            <a:rPr lang="ar-DZ" sz="900" b="1">
              <a:cs typeface="+mn-cs"/>
            </a:rPr>
            <a:t>جوان 2027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F5E7-0F6A-466F-A044-FC154924C87C}">
  <dimension ref="A1:BA106"/>
  <sheetViews>
    <sheetView rightToLeft="1" tabSelected="1" workbookViewId="0">
      <selection activeCell="H10" sqref="H10"/>
    </sheetView>
  </sheetViews>
  <sheetFormatPr defaultRowHeight="15.75"/>
  <cols>
    <col min="1" max="1" width="9" style="31"/>
    <col min="2" max="20" width="10.375" style="31" customWidth="1"/>
    <col min="21" max="25" width="3.125" style="31" customWidth="1"/>
    <col min="26" max="29" width="9" style="31"/>
    <col min="30" max="30" width="10.125" style="31" bestFit="1" customWidth="1"/>
    <col min="31" max="46" width="9" style="31"/>
    <col min="47" max="47" width="23.125" style="31" bestFit="1" customWidth="1"/>
    <col min="48" max="48" width="11.625" style="31" customWidth="1"/>
    <col min="49" max="16384" width="9" style="31"/>
  </cols>
  <sheetData>
    <row r="1" spans="1:53">
      <c r="A1" s="30" t="s">
        <v>510</v>
      </c>
      <c r="B1" s="31" t="s">
        <v>511</v>
      </c>
      <c r="C1" s="31" t="s">
        <v>512</v>
      </c>
      <c r="D1" s="31" t="s">
        <v>513</v>
      </c>
      <c r="E1" s="31" t="s">
        <v>514</v>
      </c>
      <c r="F1" s="31" t="s">
        <v>515</v>
      </c>
      <c r="G1" s="31" t="s">
        <v>516</v>
      </c>
      <c r="H1" s="31" t="s">
        <v>517</v>
      </c>
      <c r="I1" s="31" t="s">
        <v>518</v>
      </c>
      <c r="J1" s="31" t="s">
        <v>9</v>
      </c>
      <c r="K1" s="31" t="s">
        <v>519</v>
      </c>
      <c r="L1" s="31" t="s">
        <v>520</v>
      </c>
      <c r="M1" s="31" t="s">
        <v>521</v>
      </c>
      <c r="N1" s="31" t="s">
        <v>522</v>
      </c>
      <c r="O1" s="31" t="s">
        <v>523</v>
      </c>
      <c r="P1" s="31" t="s">
        <v>524</v>
      </c>
      <c r="Q1" s="31" t="s">
        <v>525</v>
      </c>
      <c r="R1" s="31" t="s">
        <v>526</v>
      </c>
      <c r="S1" s="31" t="s">
        <v>527</v>
      </c>
      <c r="T1" s="31" t="s">
        <v>528</v>
      </c>
      <c r="U1" s="31" t="s">
        <v>529</v>
      </c>
      <c r="V1" s="31" t="s">
        <v>530</v>
      </c>
      <c r="W1" s="31" t="s">
        <v>531</v>
      </c>
      <c r="X1" s="31" t="s">
        <v>532</v>
      </c>
      <c r="Y1" s="31" t="s">
        <v>533</v>
      </c>
      <c r="Z1" s="31" t="s">
        <v>10</v>
      </c>
      <c r="AA1" s="31" t="s">
        <v>534</v>
      </c>
      <c r="AB1" s="31" t="s">
        <v>535</v>
      </c>
      <c r="AC1" s="31" t="s">
        <v>536</v>
      </c>
      <c r="AD1" s="31" t="s">
        <v>11</v>
      </c>
      <c r="AE1" s="31" t="s">
        <v>12</v>
      </c>
      <c r="AF1" s="31" t="s">
        <v>537</v>
      </c>
      <c r="AG1" s="31" t="s">
        <v>538</v>
      </c>
      <c r="AH1" s="31" t="s">
        <v>539</v>
      </c>
      <c r="AI1" s="31" t="s">
        <v>540</v>
      </c>
      <c r="AJ1" s="31" t="s">
        <v>541</v>
      </c>
      <c r="AK1" s="31" t="s">
        <v>542</v>
      </c>
      <c r="AL1" s="31" t="s">
        <v>543</v>
      </c>
      <c r="AM1" s="31" t="s">
        <v>544</v>
      </c>
      <c r="AN1" s="31" t="s">
        <v>545</v>
      </c>
      <c r="AO1" s="31" t="s">
        <v>546</v>
      </c>
      <c r="AP1" s="31" t="s">
        <v>547</v>
      </c>
      <c r="AQ1" s="31" t="s">
        <v>548</v>
      </c>
      <c r="AR1" s="31" t="s">
        <v>549</v>
      </c>
      <c r="AS1" s="31" t="s">
        <v>550</v>
      </c>
      <c r="AT1" s="31" t="s">
        <v>551</v>
      </c>
      <c r="AU1" s="31" t="s">
        <v>552</v>
      </c>
      <c r="AV1" s="31" t="s">
        <v>553</v>
      </c>
      <c r="AW1" s="31" t="s">
        <v>554</v>
      </c>
      <c r="AX1" s="31" t="s">
        <v>555</v>
      </c>
      <c r="AY1" s="31" t="s">
        <v>556</v>
      </c>
      <c r="AZ1" s="31" t="s">
        <v>557</v>
      </c>
      <c r="BA1" s="31" t="s">
        <v>558</v>
      </c>
    </row>
    <row r="2" spans="1:53" s="35" customFormat="1" ht="14.25">
      <c r="A2" s="35">
        <v>1</v>
      </c>
      <c r="B2" s="35">
        <v>1</v>
      </c>
      <c r="C2" s="35">
        <v>1</v>
      </c>
      <c r="D2" s="35">
        <v>0</v>
      </c>
      <c r="E2" s="35">
        <v>0</v>
      </c>
      <c r="G2" s="35" t="s">
        <v>559</v>
      </c>
      <c r="H2" s="35" t="s">
        <v>559</v>
      </c>
      <c r="I2" s="35" t="s">
        <v>997</v>
      </c>
      <c r="J2" s="35">
        <v>2396</v>
      </c>
      <c r="K2" s="35" t="s">
        <v>998</v>
      </c>
      <c r="L2" s="35" t="s">
        <v>999</v>
      </c>
      <c r="M2" s="35" t="s">
        <v>1000</v>
      </c>
      <c r="R2" s="35">
        <v>1</v>
      </c>
      <c r="Y2" s="35" t="s">
        <v>1001</v>
      </c>
      <c r="Z2" s="35" t="s">
        <v>574</v>
      </c>
      <c r="AA2" s="35" t="s">
        <v>1002</v>
      </c>
      <c r="AB2" s="35" t="s">
        <v>1003</v>
      </c>
      <c r="AC2" s="35" t="s">
        <v>1004</v>
      </c>
      <c r="AD2" s="35" t="s">
        <v>1005</v>
      </c>
      <c r="AE2" s="35" t="s">
        <v>560</v>
      </c>
      <c r="AF2" s="35" t="s">
        <v>561</v>
      </c>
      <c r="AH2" s="35" t="s">
        <v>562</v>
      </c>
      <c r="AI2" s="35">
        <v>0</v>
      </c>
      <c r="AJ2" s="35" t="s">
        <v>1006</v>
      </c>
      <c r="AK2" s="35" t="s">
        <v>1007</v>
      </c>
      <c r="AL2" s="35" t="s">
        <v>1008</v>
      </c>
      <c r="AM2" s="35" t="s">
        <v>574</v>
      </c>
      <c r="AN2" s="35" t="s">
        <v>965</v>
      </c>
      <c r="AO2" s="35" t="s">
        <v>1009</v>
      </c>
      <c r="AP2" s="35" t="s">
        <v>1010</v>
      </c>
      <c r="AQ2" s="35" t="s">
        <v>1010</v>
      </c>
      <c r="AS2" s="35">
        <v>0</v>
      </c>
      <c r="AT2" s="35">
        <v>270543</v>
      </c>
      <c r="AU2" s="35" t="s">
        <v>1292</v>
      </c>
      <c r="AV2" s="35" t="s">
        <v>956</v>
      </c>
      <c r="AW2" s="35" t="s">
        <v>564</v>
      </c>
      <c r="AX2" s="35" t="s">
        <v>565</v>
      </c>
      <c r="AY2" s="35" t="s">
        <v>566</v>
      </c>
      <c r="AZ2" s="35" t="s">
        <v>567</v>
      </c>
      <c r="BA2" s="35" t="s">
        <v>779</v>
      </c>
    </row>
    <row r="3" spans="1:53" s="35" customFormat="1" ht="14.25">
      <c r="A3" s="35">
        <v>2</v>
      </c>
      <c r="B3" s="35">
        <v>1</v>
      </c>
      <c r="C3" s="35">
        <v>1</v>
      </c>
      <c r="D3" s="35">
        <v>0</v>
      </c>
      <c r="E3" s="35">
        <v>0</v>
      </c>
      <c r="G3" s="35" t="s">
        <v>559</v>
      </c>
      <c r="H3" s="35" t="s">
        <v>559</v>
      </c>
      <c r="I3" s="35" t="s">
        <v>1011</v>
      </c>
      <c r="J3" s="35">
        <v>67099</v>
      </c>
      <c r="K3" s="35" t="s">
        <v>1012</v>
      </c>
      <c r="L3" s="35" t="s">
        <v>1013</v>
      </c>
      <c r="M3" s="35" t="s">
        <v>1014</v>
      </c>
      <c r="R3" s="35">
        <v>1</v>
      </c>
      <c r="Y3" s="35" t="s">
        <v>1015</v>
      </c>
      <c r="Z3" s="35" t="s">
        <v>1016</v>
      </c>
      <c r="AA3" s="35" t="s">
        <v>1017</v>
      </c>
      <c r="AB3" s="35" t="s">
        <v>1018</v>
      </c>
      <c r="AC3" s="35" t="s">
        <v>1019</v>
      </c>
      <c r="AD3" s="35" t="s">
        <v>1020</v>
      </c>
      <c r="AE3" s="35" t="s">
        <v>580</v>
      </c>
      <c r="AF3" s="35" t="s">
        <v>561</v>
      </c>
      <c r="AH3" s="35" t="s">
        <v>562</v>
      </c>
      <c r="AI3" s="35">
        <v>0</v>
      </c>
      <c r="AJ3" s="35" t="s">
        <v>1021</v>
      </c>
      <c r="AK3" s="35" t="s">
        <v>1022</v>
      </c>
      <c r="AL3" s="35" t="s">
        <v>1023</v>
      </c>
      <c r="AM3" s="35" t="s">
        <v>1024</v>
      </c>
      <c r="AN3" s="35" t="s">
        <v>1025</v>
      </c>
      <c r="AO3" s="35" t="s">
        <v>1009</v>
      </c>
      <c r="AP3" s="35" t="s">
        <v>1026</v>
      </c>
      <c r="AQ3" s="35" t="s">
        <v>1026</v>
      </c>
      <c r="AS3" s="35">
        <v>0</v>
      </c>
      <c r="AT3" s="35">
        <v>270543</v>
      </c>
      <c r="AU3" s="35" t="s">
        <v>1292</v>
      </c>
      <c r="AV3" s="35" t="s">
        <v>956</v>
      </c>
      <c r="AW3" s="35" t="s">
        <v>564</v>
      </c>
      <c r="AX3" s="35" t="s">
        <v>565</v>
      </c>
      <c r="AY3" s="35" t="s">
        <v>566</v>
      </c>
      <c r="AZ3" s="35" t="s">
        <v>567</v>
      </c>
      <c r="BA3" s="35" t="s">
        <v>779</v>
      </c>
    </row>
    <row r="4" spans="1:53" s="35" customFormat="1" ht="14.25">
      <c r="A4" s="35">
        <v>3</v>
      </c>
      <c r="B4" s="35">
        <v>1</v>
      </c>
      <c r="C4" s="35">
        <v>1</v>
      </c>
      <c r="D4" s="35">
        <v>0</v>
      </c>
      <c r="E4" s="35">
        <v>0</v>
      </c>
      <c r="G4" s="35" t="s">
        <v>559</v>
      </c>
      <c r="H4" s="35" t="s">
        <v>559</v>
      </c>
      <c r="I4" s="35" t="s">
        <v>1027</v>
      </c>
      <c r="J4" s="35">
        <v>477133</v>
      </c>
      <c r="K4" s="35" t="s">
        <v>1028</v>
      </c>
      <c r="L4" s="35" t="s">
        <v>1029</v>
      </c>
      <c r="R4" s="35">
        <v>1</v>
      </c>
      <c r="Y4" s="35" t="s">
        <v>1030</v>
      </c>
      <c r="Z4" s="35" t="s">
        <v>1031</v>
      </c>
      <c r="AA4" s="35" t="s">
        <v>1032</v>
      </c>
      <c r="AB4" s="35" t="s">
        <v>1033</v>
      </c>
      <c r="AC4" s="35" t="s">
        <v>1034</v>
      </c>
      <c r="AD4" s="35" t="s">
        <v>1035</v>
      </c>
      <c r="AE4" s="35" t="s">
        <v>586</v>
      </c>
      <c r="AF4" s="35" t="s">
        <v>561</v>
      </c>
      <c r="AH4" s="35" t="s">
        <v>562</v>
      </c>
      <c r="AI4" s="35">
        <v>0</v>
      </c>
      <c r="AJ4" s="35" t="s">
        <v>1036</v>
      </c>
      <c r="AK4" s="35" t="s">
        <v>1037</v>
      </c>
      <c r="AL4" s="35" t="s">
        <v>1038</v>
      </c>
      <c r="AM4" s="35" t="s">
        <v>1039</v>
      </c>
      <c r="AN4" s="35" t="s">
        <v>1040</v>
      </c>
      <c r="AO4" s="35" t="s">
        <v>1041</v>
      </c>
      <c r="AP4" s="35" t="s">
        <v>1042</v>
      </c>
      <c r="AQ4" s="35" t="s">
        <v>1042</v>
      </c>
      <c r="AS4" s="35">
        <v>0</v>
      </c>
      <c r="AT4" s="35">
        <v>270543</v>
      </c>
      <c r="AU4" s="35" t="s">
        <v>1292</v>
      </c>
      <c r="AV4" s="35" t="s">
        <v>956</v>
      </c>
      <c r="AW4" s="35" t="s">
        <v>564</v>
      </c>
      <c r="AX4" s="35" t="s">
        <v>565</v>
      </c>
      <c r="AY4" s="35" t="s">
        <v>566</v>
      </c>
      <c r="AZ4" s="35" t="s">
        <v>567</v>
      </c>
      <c r="BA4" s="35" t="s">
        <v>779</v>
      </c>
    </row>
    <row r="5" spans="1:53" s="35" customFormat="1" ht="14.25">
      <c r="A5" s="35">
        <v>4</v>
      </c>
      <c r="B5" s="35">
        <v>1</v>
      </c>
      <c r="C5" s="35">
        <v>1</v>
      </c>
      <c r="D5" s="35">
        <v>0</v>
      </c>
      <c r="E5" s="35">
        <v>0</v>
      </c>
      <c r="G5" s="35" t="s">
        <v>559</v>
      </c>
      <c r="H5" s="35" t="s">
        <v>559</v>
      </c>
      <c r="I5" s="35" t="s">
        <v>1043</v>
      </c>
      <c r="J5" s="35">
        <v>184194</v>
      </c>
      <c r="K5" s="35" t="s">
        <v>1044</v>
      </c>
      <c r="L5" s="35" t="s">
        <v>1045</v>
      </c>
      <c r="M5" s="35" t="s">
        <v>1046</v>
      </c>
      <c r="R5" s="35">
        <v>1</v>
      </c>
      <c r="Y5" s="35" t="s">
        <v>1047</v>
      </c>
      <c r="Z5" s="35" t="s">
        <v>1048</v>
      </c>
      <c r="AA5" s="35" t="s">
        <v>953</v>
      </c>
      <c r="AB5" s="35" t="s">
        <v>1049</v>
      </c>
      <c r="AC5" s="35" t="s">
        <v>1050</v>
      </c>
      <c r="AD5" s="35" t="s">
        <v>1051</v>
      </c>
      <c r="AE5" s="35" t="s">
        <v>1052</v>
      </c>
      <c r="AF5" s="35" t="s">
        <v>561</v>
      </c>
      <c r="AH5" s="35" t="s">
        <v>562</v>
      </c>
      <c r="AI5" s="35">
        <v>0</v>
      </c>
      <c r="AJ5" s="35" t="s">
        <v>1053</v>
      </c>
      <c r="AK5" s="35" t="s">
        <v>1054</v>
      </c>
      <c r="AL5" s="35" t="s">
        <v>1055</v>
      </c>
      <c r="AM5" s="35" t="s">
        <v>1048</v>
      </c>
      <c r="AN5" s="35" t="s">
        <v>1056</v>
      </c>
      <c r="AO5" s="35" t="s">
        <v>1057</v>
      </c>
      <c r="AP5" s="35" t="s">
        <v>1058</v>
      </c>
      <c r="AQ5" s="35" t="s">
        <v>1058</v>
      </c>
      <c r="AS5" s="35">
        <v>0</v>
      </c>
      <c r="AT5" s="35">
        <v>270543</v>
      </c>
      <c r="AU5" s="35" t="s">
        <v>1292</v>
      </c>
      <c r="AV5" s="35" t="s">
        <v>956</v>
      </c>
      <c r="AW5" s="35" t="s">
        <v>564</v>
      </c>
      <c r="AX5" s="35" t="s">
        <v>565</v>
      </c>
      <c r="AY5" s="35" t="s">
        <v>566</v>
      </c>
      <c r="AZ5" s="35" t="s">
        <v>567</v>
      </c>
      <c r="BA5" s="35" t="s">
        <v>779</v>
      </c>
    </row>
    <row r="6" spans="1:53" s="35" customFormat="1" ht="14.25">
      <c r="A6" s="35">
        <v>5</v>
      </c>
      <c r="B6" s="35">
        <v>1</v>
      </c>
      <c r="C6" s="35">
        <v>1</v>
      </c>
      <c r="D6" s="35">
        <v>0</v>
      </c>
      <c r="E6" s="35">
        <v>0</v>
      </c>
      <c r="G6" s="35" t="s">
        <v>559</v>
      </c>
      <c r="H6" s="35" t="s">
        <v>559</v>
      </c>
      <c r="I6" s="35" t="s">
        <v>1060</v>
      </c>
      <c r="J6" s="35">
        <v>472920</v>
      </c>
      <c r="K6" s="35" t="s">
        <v>1061</v>
      </c>
      <c r="R6" s="35">
        <v>1</v>
      </c>
      <c r="Y6" s="35" t="s">
        <v>1062</v>
      </c>
      <c r="Z6" s="35" t="s">
        <v>1063</v>
      </c>
      <c r="AA6" s="35" t="s">
        <v>1064</v>
      </c>
      <c r="AB6" s="35" t="s">
        <v>1065</v>
      </c>
      <c r="AC6" s="35" t="s">
        <v>1066</v>
      </c>
      <c r="AD6" s="35" t="s">
        <v>1067</v>
      </c>
      <c r="AE6" s="35" t="s">
        <v>580</v>
      </c>
      <c r="AF6" s="35" t="s">
        <v>561</v>
      </c>
      <c r="AH6" s="35" t="s">
        <v>562</v>
      </c>
      <c r="AI6" s="35">
        <v>0</v>
      </c>
      <c r="AJ6" s="35" t="s">
        <v>1068</v>
      </c>
      <c r="AK6" s="35" t="s">
        <v>1069</v>
      </c>
      <c r="AL6" s="35" t="s">
        <v>1070</v>
      </c>
      <c r="AM6" s="35" t="s">
        <v>1071</v>
      </c>
      <c r="AN6" s="35" t="s">
        <v>1072</v>
      </c>
      <c r="AO6" s="35" t="s">
        <v>1073</v>
      </c>
      <c r="AP6" s="35" t="s">
        <v>1074</v>
      </c>
      <c r="AQ6" s="35" t="s">
        <v>1074</v>
      </c>
      <c r="AS6" s="35">
        <v>0</v>
      </c>
      <c r="AT6" s="35">
        <v>270543</v>
      </c>
      <c r="AU6" s="35" t="s">
        <v>1292</v>
      </c>
      <c r="AV6" s="35" t="s">
        <v>956</v>
      </c>
      <c r="AW6" s="35" t="s">
        <v>564</v>
      </c>
      <c r="AX6" s="35" t="s">
        <v>565</v>
      </c>
      <c r="AY6" s="35" t="s">
        <v>566</v>
      </c>
      <c r="AZ6" s="35" t="s">
        <v>567</v>
      </c>
      <c r="BA6" s="35" t="s">
        <v>779</v>
      </c>
    </row>
    <row r="7" spans="1:53" s="35" customFormat="1" ht="14.25">
      <c r="A7" s="35">
        <v>6</v>
      </c>
      <c r="B7" s="35">
        <v>1</v>
      </c>
      <c r="C7" s="35">
        <v>1</v>
      </c>
      <c r="D7" s="35">
        <v>0</v>
      </c>
      <c r="E7" s="35">
        <v>0</v>
      </c>
      <c r="G7" s="35" t="s">
        <v>559</v>
      </c>
      <c r="H7" s="35" t="s">
        <v>559</v>
      </c>
      <c r="I7" s="35" t="s">
        <v>1075</v>
      </c>
      <c r="J7" s="35">
        <v>679413</v>
      </c>
      <c r="R7" s="35">
        <v>1</v>
      </c>
      <c r="Y7" s="35" t="s">
        <v>1076</v>
      </c>
      <c r="Z7" s="35" t="s">
        <v>1077</v>
      </c>
      <c r="AA7" s="35" t="s">
        <v>1078</v>
      </c>
      <c r="AB7" s="35" t="s">
        <v>1079</v>
      </c>
      <c r="AC7" s="35" t="s">
        <v>1080</v>
      </c>
      <c r="AD7" s="35" t="s">
        <v>1081</v>
      </c>
      <c r="AE7" s="35" t="s">
        <v>580</v>
      </c>
      <c r="AF7" s="35" t="s">
        <v>561</v>
      </c>
      <c r="AH7" s="35" t="s">
        <v>562</v>
      </c>
      <c r="AI7" s="35">
        <v>0</v>
      </c>
      <c r="AJ7" s="35" t="s">
        <v>1082</v>
      </c>
      <c r="AK7" s="35" t="s">
        <v>1083</v>
      </c>
      <c r="AL7" s="35" t="s">
        <v>1084</v>
      </c>
      <c r="AM7" s="35" t="s">
        <v>1085</v>
      </c>
      <c r="AN7" s="35" t="s">
        <v>1086</v>
      </c>
      <c r="AO7" s="35" t="s">
        <v>560</v>
      </c>
      <c r="AP7" s="35" t="s">
        <v>1087</v>
      </c>
      <c r="AQ7" s="35" t="s">
        <v>1087</v>
      </c>
      <c r="AS7" s="35">
        <v>0</v>
      </c>
      <c r="AT7" s="35">
        <v>270543</v>
      </c>
      <c r="AU7" s="35" t="s">
        <v>1292</v>
      </c>
      <c r="AV7" s="35" t="s">
        <v>956</v>
      </c>
      <c r="AW7" s="35" t="s">
        <v>564</v>
      </c>
      <c r="AX7" s="35" t="s">
        <v>565</v>
      </c>
      <c r="AY7" s="35" t="s">
        <v>566</v>
      </c>
      <c r="AZ7" s="35" t="s">
        <v>567</v>
      </c>
      <c r="BA7" s="35" t="s">
        <v>779</v>
      </c>
    </row>
    <row r="8" spans="1:53" s="35" customFormat="1" ht="14.25">
      <c r="A8" s="35">
        <v>7</v>
      </c>
      <c r="B8" s="35">
        <v>1</v>
      </c>
      <c r="C8" s="35">
        <v>1</v>
      </c>
      <c r="D8" s="35">
        <v>0</v>
      </c>
      <c r="E8" s="35">
        <v>0</v>
      </c>
      <c r="G8" s="35" t="s">
        <v>559</v>
      </c>
      <c r="H8" s="35" t="s">
        <v>559</v>
      </c>
      <c r="I8" s="35" t="s">
        <v>1088</v>
      </c>
      <c r="J8" s="35">
        <v>446305</v>
      </c>
      <c r="R8" s="35">
        <v>1</v>
      </c>
      <c r="Y8" s="35" t="s">
        <v>1089</v>
      </c>
      <c r="Z8" s="35" t="s">
        <v>1090</v>
      </c>
      <c r="AA8" s="35" t="s">
        <v>1091</v>
      </c>
      <c r="AB8" s="35" t="s">
        <v>1092</v>
      </c>
      <c r="AC8" s="35" t="s">
        <v>1093</v>
      </c>
      <c r="AD8" s="35" t="s">
        <v>1094</v>
      </c>
      <c r="AE8" s="35" t="s">
        <v>599</v>
      </c>
      <c r="AF8" s="35" t="s">
        <v>561</v>
      </c>
      <c r="AH8" s="35" t="s">
        <v>562</v>
      </c>
      <c r="AI8" s="35">
        <v>0</v>
      </c>
      <c r="AJ8" s="35" t="s">
        <v>1095</v>
      </c>
      <c r="AK8" s="35" t="s">
        <v>1096</v>
      </c>
      <c r="AL8" s="35" t="s">
        <v>1097</v>
      </c>
      <c r="AM8" s="35" t="s">
        <v>1098</v>
      </c>
      <c r="AN8" s="35" t="s">
        <v>1099</v>
      </c>
      <c r="AO8" s="35" t="s">
        <v>599</v>
      </c>
      <c r="AP8" s="35" t="s">
        <v>1100</v>
      </c>
      <c r="AQ8" s="35" t="s">
        <v>1100</v>
      </c>
      <c r="AS8" s="35">
        <v>0</v>
      </c>
      <c r="AT8" s="35">
        <v>270543</v>
      </c>
      <c r="AU8" s="35" t="s">
        <v>1292</v>
      </c>
      <c r="AV8" s="35" t="s">
        <v>956</v>
      </c>
      <c r="AW8" s="35" t="s">
        <v>564</v>
      </c>
      <c r="AX8" s="35" t="s">
        <v>565</v>
      </c>
      <c r="AY8" s="35" t="s">
        <v>566</v>
      </c>
      <c r="AZ8" s="35" t="s">
        <v>567</v>
      </c>
      <c r="BA8" s="35" t="s">
        <v>779</v>
      </c>
    </row>
    <row r="9" spans="1:53" s="35" customFormat="1" ht="14.25">
      <c r="A9" s="35">
        <v>8</v>
      </c>
      <c r="B9" s="35">
        <v>1</v>
      </c>
      <c r="C9" s="35">
        <v>1</v>
      </c>
      <c r="D9" s="35">
        <v>0</v>
      </c>
      <c r="E9" s="35">
        <v>0</v>
      </c>
      <c r="G9" s="35" t="s">
        <v>559</v>
      </c>
      <c r="H9" s="35" t="s">
        <v>559</v>
      </c>
      <c r="I9" s="35" t="s">
        <v>1101</v>
      </c>
      <c r="J9" s="35">
        <v>543466</v>
      </c>
      <c r="K9" s="35" t="s">
        <v>1102</v>
      </c>
      <c r="L9" s="35" t="s">
        <v>1103</v>
      </c>
      <c r="M9" s="35" t="s">
        <v>1104</v>
      </c>
      <c r="R9" s="35">
        <v>1</v>
      </c>
      <c r="Y9" s="35" t="s">
        <v>1105</v>
      </c>
      <c r="Z9" s="35" t="s">
        <v>1106</v>
      </c>
      <c r="AA9" s="35" t="s">
        <v>822</v>
      </c>
      <c r="AB9" s="35" t="s">
        <v>1107</v>
      </c>
      <c r="AC9" s="35" t="s">
        <v>1108</v>
      </c>
      <c r="AD9" s="35" t="s">
        <v>1109</v>
      </c>
      <c r="AE9" s="35" t="s">
        <v>598</v>
      </c>
      <c r="AF9" s="35" t="s">
        <v>561</v>
      </c>
      <c r="AH9" s="35" t="s">
        <v>562</v>
      </c>
      <c r="AI9" s="35">
        <v>0</v>
      </c>
      <c r="AJ9" s="35" t="s">
        <v>1110</v>
      </c>
      <c r="AK9" s="35" t="s">
        <v>1111</v>
      </c>
      <c r="AL9" s="35" t="s">
        <v>1112</v>
      </c>
      <c r="AM9" s="35" t="s">
        <v>1113</v>
      </c>
      <c r="AN9" s="35" t="s">
        <v>1114</v>
      </c>
      <c r="AO9" s="35" t="s">
        <v>1115</v>
      </c>
      <c r="AP9" s="35" t="s">
        <v>1116</v>
      </c>
      <c r="AQ9" s="35" t="s">
        <v>1116</v>
      </c>
      <c r="AS9" s="35">
        <v>0</v>
      </c>
      <c r="AT9" s="35">
        <v>270543</v>
      </c>
      <c r="AU9" s="35" t="s">
        <v>1292</v>
      </c>
      <c r="AV9" s="35" t="s">
        <v>956</v>
      </c>
      <c r="AW9" s="35" t="s">
        <v>564</v>
      </c>
      <c r="AX9" s="35" t="s">
        <v>565</v>
      </c>
      <c r="AY9" s="35" t="s">
        <v>566</v>
      </c>
      <c r="AZ9" s="35" t="s">
        <v>567</v>
      </c>
      <c r="BA9" s="35" t="s">
        <v>779</v>
      </c>
    </row>
    <row r="10" spans="1:53" s="35" customFormat="1" ht="14.25">
      <c r="A10" s="35">
        <v>9</v>
      </c>
      <c r="B10" s="35">
        <v>1</v>
      </c>
      <c r="C10" s="35">
        <v>1</v>
      </c>
      <c r="D10" s="35">
        <v>0</v>
      </c>
      <c r="E10" s="35">
        <v>0</v>
      </c>
      <c r="G10" s="35" t="s">
        <v>559</v>
      </c>
      <c r="H10" s="35" t="s">
        <v>559</v>
      </c>
      <c r="I10" s="35" t="s">
        <v>1117</v>
      </c>
      <c r="J10" s="35">
        <v>726281</v>
      </c>
      <c r="K10" s="35" t="s">
        <v>1118</v>
      </c>
      <c r="L10" s="35" t="s">
        <v>1119</v>
      </c>
      <c r="M10" s="35" t="s">
        <v>1120</v>
      </c>
      <c r="R10" s="35">
        <v>1</v>
      </c>
      <c r="Y10" s="35" t="s">
        <v>1121</v>
      </c>
      <c r="Z10" s="35" t="s">
        <v>584</v>
      </c>
      <c r="AA10" s="35" t="s">
        <v>1122</v>
      </c>
      <c r="AB10" s="35" t="s">
        <v>585</v>
      </c>
      <c r="AC10" s="35" t="s">
        <v>1123</v>
      </c>
      <c r="AD10" s="35" t="s">
        <v>1124</v>
      </c>
      <c r="AE10" s="35" t="s">
        <v>560</v>
      </c>
      <c r="AF10" s="35" t="s">
        <v>561</v>
      </c>
      <c r="AH10" s="35" t="s">
        <v>562</v>
      </c>
      <c r="AI10" s="35">
        <v>0</v>
      </c>
      <c r="AJ10" s="35" t="s">
        <v>1125</v>
      </c>
      <c r="AK10" s="35" t="s">
        <v>1126</v>
      </c>
      <c r="AL10" s="35" t="s">
        <v>1127</v>
      </c>
      <c r="AM10" s="35" t="s">
        <v>1128</v>
      </c>
      <c r="AN10" s="35" t="s">
        <v>1129</v>
      </c>
      <c r="AO10" s="35" t="s">
        <v>560</v>
      </c>
      <c r="AP10" s="35" t="s">
        <v>1130</v>
      </c>
      <c r="AQ10" s="35" t="s">
        <v>1130</v>
      </c>
      <c r="AS10" s="35">
        <v>0</v>
      </c>
      <c r="AT10" s="35">
        <v>270543</v>
      </c>
      <c r="AU10" s="35" t="s">
        <v>1292</v>
      </c>
      <c r="AV10" s="35" t="s">
        <v>956</v>
      </c>
      <c r="AW10" s="35" t="s">
        <v>564</v>
      </c>
      <c r="AX10" s="35" t="s">
        <v>565</v>
      </c>
      <c r="AY10" s="35" t="s">
        <v>566</v>
      </c>
      <c r="AZ10" s="35" t="s">
        <v>567</v>
      </c>
      <c r="BA10" s="35" t="s">
        <v>779</v>
      </c>
    </row>
    <row r="11" spans="1:53" s="35" customFormat="1" ht="14.25">
      <c r="A11" s="35">
        <v>10</v>
      </c>
      <c r="B11" s="35">
        <v>1</v>
      </c>
      <c r="C11" s="35">
        <v>1</v>
      </c>
      <c r="D11" s="35">
        <v>0</v>
      </c>
      <c r="E11" s="35">
        <v>0</v>
      </c>
      <c r="G11" s="35" t="s">
        <v>559</v>
      </c>
      <c r="H11" s="35" t="s">
        <v>559</v>
      </c>
      <c r="I11" s="35" t="s">
        <v>1131</v>
      </c>
      <c r="J11" s="35">
        <v>691398</v>
      </c>
      <c r="R11" s="35">
        <v>1</v>
      </c>
      <c r="Y11" s="35" t="s">
        <v>1132</v>
      </c>
      <c r="Z11" s="35" t="s">
        <v>1133</v>
      </c>
      <c r="AA11" s="35" t="s">
        <v>1134</v>
      </c>
      <c r="AB11" s="35" t="s">
        <v>1135</v>
      </c>
      <c r="AC11" s="35" t="s">
        <v>1136</v>
      </c>
      <c r="AD11" s="35" t="s">
        <v>1137</v>
      </c>
      <c r="AE11" s="35" t="s">
        <v>580</v>
      </c>
      <c r="AF11" s="35" t="s">
        <v>561</v>
      </c>
      <c r="AG11" s="35" t="s">
        <v>561</v>
      </c>
      <c r="AH11" s="35" t="s">
        <v>562</v>
      </c>
      <c r="AI11" s="35">
        <v>0</v>
      </c>
      <c r="AJ11" s="35" t="s">
        <v>1138</v>
      </c>
      <c r="AK11" s="35" t="s">
        <v>1139</v>
      </c>
      <c r="AL11" s="35" t="s">
        <v>1140</v>
      </c>
      <c r="AM11" s="35" t="s">
        <v>1141</v>
      </c>
      <c r="AN11" s="35" t="s">
        <v>1142</v>
      </c>
      <c r="AO11" s="35" t="s">
        <v>1143</v>
      </c>
      <c r="AP11" s="35" t="s">
        <v>1144</v>
      </c>
      <c r="AS11" s="35">
        <v>0</v>
      </c>
      <c r="AT11" s="35">
        <v>270543</v>
      </c>
      <c r="AU11" s="35" t="s">
        <v>1292</v>
      </c>
      <c r="AV11" s="35" t="s">
        <v>956</v>
      </c>
      <c r="AW11" s="35" t="s">
        <v>564</v>
      </c>
      <c r="AX11" s="35" t="s">
        <v>565</v>
      </c>
      <c r="AY11" s="35" t="s">
        <v>566</v>
      </c>
      <c r="AZ11" s="35" t="s">
        <v>567</v>
      </c>
      <c r="BA11" s="35" t="s">
        <v>779</v>
      </c>
    </row>
    <row r="12" spans="1:53" s="35" customFormat="1" ht="14.25">
      <c r="A12" s="35">
        <v>11</v>
      </c>
      <c r="B12" s="35">
        <v>1</v>
      </c>
      <c r="C12" s="35">
        <v>1</v>
      </c>
      <c r="D12" s="35">
        <v>0</v>
      </c>
      <c r="E12" s="35">
        <v>0</v>
      </c>
      <c r="G12" s="35" t="s">
        <v>559</v>
      </c>
      <c r="H12" s="35" t="s">
        <v>559</v>
      </c>
      <c r="I12" s="35" t="s">
        <v>1145</v>
      </c>
      <c r="J12" s="35">
        <v>745448</v>
      </c>
      <c r="K12" s="35" t="s">
        <v>1146</v>
      </c>
      <c r="L12" s="35" t="s">
        <v>1147</v>
      </c>
      <c r="M12" s="35" t="s">
        <v>1148</v>
      </c>
      <c r="R12" s="35">
        <v>1</v>
      </c>
      <c r="Y12" s="35" t="s">
        <v>1149</v>
      </c>
      <c r="Z12" s="35" t="s">
        <v>735</v>
      </c>
      <c r="AA12" s="35" t="s">
        <v>1150</v>
      </c>
      <c r="AB12" s="35" t="s">
        <v>1151</v>
      </c>
      <c r="AC12" s="35" t="s">
        <v>1152</v>
      </c>
      <c r="AD12" s="35" t="s">
        <v>1153</v>
      </c>
      <c r="AE12" s="35" t="s">
        <v>1052</v>
      </c>
      <c r="AF12" s="35" t="s">
        <v>561</v>
      </c>
      <c r="AH12" s="35" t="s">
        <v>562</v>
      </c>
      <c r="AI12" s="35">
        <v>0</v>
      </c>
      <c r="AJ12" s="35" t="s">
        <v>1154</v>
      </c>
      <c r="AK12" s="35" t="s">
        <v>1155</v>
      </c>
      <c r="AL12" s="35" t="s">
        <v>1156</v>
      </c>
      <c r="AM12" s="35" t="s">
        <v>1157</v>
      </c>
      <c r="AN12" s="35" t="s">
        <v>1158</v>
      </c>
      <c r="AO12" s="35" t="s">
        <v>1159</v>
      </c>
      <c r="AP12" s="35" t="s">
        <v>1160</v>
      </c>
      <c r="AQ12" s="35" t="s">
        <v>1160</v>
      </c>
      <c r="AS12" s="35">
        <v>0</v>
      </c>
      <c r="AT12" s="35">
        <v>270543</v>
      </c>
      <c r="AU12" s="35" t="s">
        <v>1292</v>
      </c>
      <c r="AV12" s="35" t="s">
        <v>956</v>
      </c>
      <c r="AW12" s="35" t="s">
        <v>564</v>
      </c>
      <c r="AX12" s="35" t="s">
        <v>565</v>
      </c>
      <c r="AY12" s="35" t="s">
        <v>566</v>
      </c>
      <c r="AZ12" s="35" t="s">
        <v>567</v>
      </c>
      <c r="BA12" s="35" t="s">
        <v>779</v>
      </c>
    </row>
    <row r="13" spans="1:53" s="35" customFormat="1" ht="14.25">
      <c r="A13" s="35">
        <v>12</v>
      </c>
      <c r="B13" s="35">
        <v>1</v>
      </c>
      <c r="C13" s="35">
        <v>1</v>
      </c>
      <c r="D13" s="35">
        <v>0</v>
      </c>
      <c r="E13" s="35">
        <v>0</v>
      </c>
      <c r="G13" s="35" t="s">
        <v>559</v>
      </c>
      <c r="H13" s="35" t="s">
        <v>559</v>
      </c>
      <c r="I13" s="35" t="s">
        <v>1161</v>
      </c>
      <c r="J13" s="35">
        <v>257487</v>
      </c>
      <c r="K13" s="35" t="s">
        <v>1162</v>
      </c>
      <c r="L13" s="35" t="s">
        <v>1163</v>
      </c>
      <c r="M13" s="35" t="s">
        <v>1164</v>
      </c>
      <c r="R13" s="35">
        <v>1</v>
      </c>
      <c r="Y13" s="35" t="s">
        <v>1165</v>
      </c>
      <c r="Z13" s="35" t="s">
        <v>1166</v>
      </c>
      <c r="AA13" s="35" t="s">
        <v>1167</v>
      </c>
      <c r="AB13" s="35" t="s">
        <v>1168</v>
      </c>
      <c r="AC13" s="35" t="s">
        <v>1169</v>
      </c>
      <c r="AD13" s="35" t="s">
        <v>1170</v>
      </c>
      <c r="AE13" s="35" t="s">
        <v>599</v>
      </c>
      <c r="AF13" s="35" t="s">
        <v>561</v>
      </c>
      <c r="AH13" s="35" t="s">
        <v>562</v>
      </c>
      <c r="AI13" s="35">
        <v>0</v>
      </c>
      <c r="AJ13" s="35" t="s">
        <v>1171</v>
      </c>
      <c r="AK13" s="35" t="s">
        <v>1172</v>
      </c>
      <c r="AL13" s="35" t="s">
        <v>1173</v>
      </c>
      <c r="AM13" s="35" t="s">
        <v>1174</v>
      </c>
      <c r="AN13" s="35" t="s">
        <v>1175</v>
      </c>
      <c r="AO13" s="35" t="s">
        <v>1176</v>
      </c>
      <c r="AP13" s="35" t="s">
        <v>1177</v>
      </c>
      <c r="AQ13" s="35" t="s">
        <v>1177</v>
      </c>
      <c r="AS13" s="35">
        <v>0</v>
      </c>
      <c r="AT13" s="35">
        <v>270543</v>
      </c>
      <c r="AU13" s="35" t="s">
        <v>1292</v>
      </c>
      <c r="AV13" s="35" t="s">
        <v>956</v>
      </c>
      <c r="AW13" s="35" t="s">
        <v>564</v>
      </c>
      <c r="AX13" s="35" t="s">
        <v>565</v>
      </c>
      <c r="AY13" s="35" t="s">
        <v>566</v>
      </c>
      <c r="AZ13" s="35" t="s">
        <v>567</v>
      </c>
      <c r="BA13" s="35" t="s">
        <v>779</v>
      </c>
    </row>
    <row r="14" spans="1:53" s="35" customFormat="1" ht="14.25">
      <c r="A14" s="35">
        <v>13</v>
      </c>
      <c r="B14" s="35">
        <v>1</v>
      </c>
      <c r="C14" s="35">
        <v>1</v>
      </c>
      <c r="D14" s="35">
        <v>0</v>
      </c>
      <c r="E14" s="35">
        <v>0</v>
      </c>
      <c r="G14" s="35" t="s">
        <v>559</v>
      </c>
      <c r="H14" s="35" t="s">
        <v>559</v>
      </c>
      <c r="I14" s="35" t="s">
        <v>1178</v>
      </c>
      <c r="J14" s="35">
        <v>213307</v>
      </c>
      <c r="K14" s="35" t="s">
        <v>1179</v>
      </c>
      <c r="L14" s="35" t="s">
        <v>1180</v>
      </c>
      <c r="M14" s="35" t="s">
        <v>1181</v>
      </c>
      <c r="R14" s="35">
        <v>1</v>
      </c>
      <c r="Y14" s="35" t="s">
        <v>1182</v>
      </c>
      <c r="Z14" s="35" t="s">
        <v>1183</v>
      </c>
      <c r="AA14" s="35" t="s">
        <v>1184</v>
      </c>
      <c r="AB14" s="35" t="s">
        <v>1185</v>
      </c>
      <c r="AC14" s="35" t="s">
        <v>1186</v>
      </c>
      <c r="AD14" s="35" t="s">
        <v>1187</v>
      </c>
      <c r="AE14" s="35" t="s">
        <v>598</v>
      </c>
      <c r="AF14" s="35" t="s">
        <v>561</v>
      </c>
      <c r="AH14" s="35" t="s">
        <v>562</v>
      </c>
      <c r="AI14" s="35">
        <v>0</v>
      </c>
      <c r="AJ14" s="35" t="s">
        <v>1188</v>
      </c>
      <c r="AK14" s="35" t="s">
        <v>1189</v>
      </c>
      <c r="AL14" s="35" t="s">
        <v>1190</v>
      </c>
      <c r="AM14" s="35" t="s">
        <v>1191</v>
      </c>
      <c r="AN14" s="35" t="s">
        <v>1192</v>
      </c>
      <c r="AO14" s="35" t="s">
        <v>598</v>
      </c>
      <c r="AP14" s="35" t="s">
        <v>1193</v>
      </c>
      <c r="AQ14" s="35" t="s">
        <v>1193</v>
      </c>
      <c r="AS14" s="35">
        <v>0</v>
      </c>
      <c r="AT14" s="35">
        <v>270543</v>
      </c>
      <c r="AU14" s="35" t="s">
        <v>1292</v>
      </c>
      <c r="AV14" s="35" t="s">
        <v>956</v>
      </c>
      <c r="AW14" s="35" t="s">
        <v>564</v>
      </c>
      <c r="AX14" s="35" t="s">
        <v>565</v>
      </c>
      <c r="AY14" s="35" t="s">
        <v>566</v>
      </c>
      <c r="AZ14" s="35" t="s">
        <v>567</v>
      </c>
      <c r="BA14" s="35" t="s">
        <v>779</v>
      </c>
    </row>
    <row r="15" spans="1:53" s="35" customFormat="1" ht="14.25">
      <c r="A15" s="35">
        <v>14</v>
      </c>
      <c r="B15" s="35">
        <v>1</v>
      </c>
      <c r="C15" s="35">
        <v>1</v>
      </c>
      <c r="D15" s="35">
        <v>0</v>
      </c>
      <c r="E15" s="35">
        <v>0</v>
      </c>
      <c r="G15" s="35" t="s">
        <v>559</v>
      </c>
      <c r="H15" s="35" t="s">
        <v>559</v>
      </c>
      <c r="I15" s="35" t="s">
        <v>1194</v>
      </c>
      <c r="J15" s="35">
        <v>164986</v>
      </c>
      <c r="K15" s="35" t="s">
        <v>1195</v>
      </c>
      <c r="L15" s="35" t="s">
        <v>1196</v>
      </c>
      <c r="M15" s="35" t="s">
        <v>1197</v>
      </c>
      <c r="R15" s="35">
        <v>1</v>
      </c>
      <c r="Y15" s="35" t="s">
        <v>1198</v>
      </c>
      <c r="Z15" s="35" t="s">
        <v>1199</v>
      </c>
      <c r="AA15" s="35" t="s">
        <v>1200</v>
      </c>
      <c r="AB15" s="35" t="s">
        <v>1201</v>
      </c>
      <c r="AC15" s="35" t="s">
        <v>1202</v>
      </c>
      <c r="AD15" s="35" t="s">
        <v>1153</v>
      </c>
      <c r="AE15" s="35" t="s">
        <v>598</v>
      </c>
      <c r="AF15" s="35" t="s">
        <v>561</v>
      </c>
      <c r="AH15" s="35" t="s">
        <v>562</v>
      </c>
      <c r="AI15" s="35">
        <v>0</v>
      </c>
      <c r="AJ15" s="35" t="s">
        <v>1203</v>
      </c>
      <c r="AK15" s="35" t="s">
        <v>1204</v>
      </c>
      <c r="AL15" s="35" t="s">
        <v>1205</v>
      </c>
      <c r="AM15" s="35" t="s">
        <v>1206</v>
      </c>
      <c r="AN15" s="35" t="s">
        <v>1059</v>
      </c>
      <c r="AO15" s="35" t="s">
        <v>1073</v>
      </c>
      <c r="AP15" s="35" t="s">
        <v>1207</v>
      </c>
      <c r="AQ15" s="35" t="s">
        <v>1207</v>
      </c>
      <c r="AS15" s="35">
        <v>0</v>
      </c>
      <c r="AT15" s="35">
        <v>270543</v>
      </c>
      <c r="AU15" s="35" t="s">
        <v>1292</v>
      </c>
      <c r="AV15" s="35" t="s">
        <v>956</v>
      </c>
      <c r="AW15" s="35" t="s">
        <v>564</v>
      </c>
      <c r="AX15" s="35" t="s">
        <v>565</v>
      </c>
      <c r="AY15" s="35" t="s">
        <v>566</v>
      </c>
      <c r="AZ15" s="35" t="s">
        <v>567</v>
      </c>
      <c r="BA15" s="35" t="s">
        <v>779</v>
      </c>
    </row>
    <row r="16" spans="1:53" s="35" customFormat="1" ht="14.25">
      <c r="A16" s="35">
        <v>15</v>
      </c>
      <c r="B16" s="35">
        <v>1</v>
      </c>
      <c r="C16" s="35">
        <v>1</v>
      </c>
      <c r="D16" s="35">
        <v>0</v>
      </c>
      <c r="E16" s="35">
        <v>0</v>
      </c>
      <c r="G16" s="35" t="s">
        <v>559</v>
      </c>
      <c r="H16" s="35" t="s">
        <v>559</v>
      </c>
      <c r="I16" s="35" t="s">
        <v>1208</v>
      </c>
      <c r="J16" s="35">
        <v>213484</v>
      </c>
      <c r="K16" s="35" t="s">
        <v>1209</v>
      </c>
      <c r="L16" s="35" t="s">
        <v>1210</v>
      </c>
      <c r="M16" s="35" t="s">
        <v>1211</v>
      </c>
      <c r="R16" s="35">
        <v>1</v>
      </c>
      <c r="Y16" s="35" t="s">
        <v>1212</v>
      </c>
      <c r="Z16" s="35" t="s">
        <v>587</v>
      </c>
      <c r="AA16" s="35" t="s">
        <v>1213</v>
      </c>
      <c r="AB16" s="35" t="s">
        <v>588</v>
      </c>
      <c r="AC16" s="35" t="s">
        <v>1214</v>
      </c>
      <c r="AD16" s="35" t="s">
        <v>1215</v>
      </c>
      <c r="AE16" s="35" t="s">
        <v>598</v>
      </c>
      <c r="AF16" s="35" t="s">
        <v>561</v>
      </c>
      <c r="AH16" s="35" t="s">
        <v>562</v>
      </c>
      <c r="AI16" s="35">
        <v>0</v>
      </c>
      <c r="AJ16" s="35" t="s">
        <v>1216</v>
      </c>
      <c r="AK16" s="35" t="s">
        <v>1217</v>
      </c>
      <c r="AL16" s="35" t="s">
        <v>1008</v>
      </c>
      <c r="AM16" s="35" t="s">
        <v>587</v>
      </c>
      <c r="AN16" s="35" t="s">
        <v>1218</v>
      </c>
      <c r="AO16" s="35" t="s">
        <v>598</v>
      </c>
      <c r="AP16" s="35" t="s">
        <v>1219</v>
      </c>
      <c r="AQ16" s="35" t="s">
        <v>1219</v>
      </c>
      <c r="AS16" s="35">
        <v>0</v>
      </c>
      <c r="AT16" s="35">
        <v>270543</v>
      </c>
      <c r="AU16" s="35" t="s">
        <v>1292</v>
      </c>
      <c r="AV16" s="35" t="s">
        <v>956</v>
      </c>
      <c r="AW16" s="35" t="s">
        <v>564</v>
      </c>
      <c r="AX16" s="35" t="s">
        <v>565</v>
      </c>
      <c r="AY16" s="35" t="s">
        <v>566</v>
      </c>
      <c r="AZ16" s="35" t="s">
        <v>567</v>
      </c>
      <c r="BA16" s="35" t="s">
        <v>779</v>
      </c>
    </row>
    <row r="17" spans="1:53" s="35" customFormat="1" ht="14.25">
      <c r="A17" s="35">
        <v>16</v>
      </c>
      <c r="B17" s="35">
        <v>1</v>
      </c>
      <c r="C17" s="35">
        <v>1</v>
      </c>
      <c r="D17" s="35">
        <v>0</v>
      </c>
      <c r="E17" s="35">
        <v>0</v>
      </c>
      <c r="G17" s="35" t="s">
        <v>559</v>
      </c>
      <c r="H17" s="35" t="s">
        <v>559</v>
      </c>
      <c r="I17" s="35" t="s">
        <v>1220</v>
      </c>
      <c r="J17" s="35">
        <v>585261</v>
      </c>
      <c r="K17" s="35" t="s">
        <v>1221</v>
      </c>
      <c r="L17" s="35" t="s">
        <v>1222</v>
      </c>
      <c r="M17" s="35" t="s">
        <v>1223</v>
      </c>
      <c r="R17" s="35">
        <v>1</v>
      </c>
      <c r="Y17" s="35" t="s">
        <v>1224</v>
      </c>
      <c r="Z17" s="35" t="s">
        <v>827</v>
      </c>
      <c r="AA17" s="35" t="s">
        <v>806</v>
      </c>
      <c r="AB17" s="35" t="s">
        <v>1225</v>
      </c>
      <c r="AC17" s="35" t="s">
        <v>808</v>
      </c>
      <c r="AD17" s="35" t="s">
        <v>1226</v>
      </c>
      <c r="AE17" s="35" t="s">
        <v>560</v>
      </c>
      <c r="AF17" s="35" t="s">
        <v>561</v>
      </c>
      <c r="AH17" s="35" t="s">
        <v>562</v>
      </c>
      <c r="AI17" s="35">
        <v>0</v>
      </c>
      <c r="AJ17" s="35" t="s">
        <v>1227</v>
      </c>
      <c r="AK17" s="35" t="s">
        <v>1228</v>
      </c>
      <c r="AL17" s="35" t="s">
        <v>1229</v>
      </c>
      <c r="AM17" s="35" t="s">
        <v>1230</v>
      </c>
      <c r="AN17" s="35" t="s">
        <v>1231</v>
      </c>
      <c r="AO17" s="35" t="s">
        <v>1232</v>
      </c>
      <c r="AP17" s="35" t="s">
        <v>1233</v>
      </c>
      <c r="AQ17" s="35" t="s">
        <v>1233</v>
      </c>
      <c r="AS17" s="35">
        <v>0</v>
      </c>
      <c r="AT17" s="35">
        <v>270543</v>
      </c>
      <c r="AU17" s="35" t="s">
        <v>1292</v>
      </c>
      <c r="AV17" s="35" t="s">
        <v>956</v>
      </c>
      <c r="AW17" s="35" t="s">
        <v>564</v>
      </c>
      <c r="AX17" s="35" t="s">
        <v>565</v>
      </c>
      <c r="AY17" s="35" t="s">
        <v>566</v>
      </c>
      <c r="AZ17" s="35" t="s">
        <v>567</v>
      </c>
      <c r="BA17" s="35" t="s">
        <v>779</v>
      </c>
    </row>
    <row r="18" spans="1:53" s="35" customFormat="1" ht="14.25">
      <c r="A18" s="35">
        <v>17</v>
      </c>
      <c r="B18" s="35">
        <v>1</v>
      </c>
      <c r="C18" s="35">
        <v>1</v>
      </c>
      <c r="D18" s="35">
        <v>0</v>
      </c>
      <c r="E18" s="35">
        <v>0</v>
      </c>
      <c r="G18" s="35" t="s">
        <v>559</v>
      </c>
      <c r="H18" s="35" t="s">
        <v>559</v>
      </c>
      <c r="I18" s="35" t="s">
        <v>1234</v>
      </c>
      <c r="J18" s="35">
        <v>657347</v>
      </c>
      <c r="R18" s="35">
        <v>1</v>
      </c>
      <c r="Y18" s="35" t="s">
        <v>1235</v>
      </c>
      <c r="Z18" s="35" t="s">
        <v>1236</v>
      </c>
      <c r="AA18" s="35" t="s">
        <v>1237</v>
      </c>
      <c r="AB18" s="35" t="s">
        <v>1238</v>
      </c>
      <c r="AC18" s="35" t="s">
        <v>1239</v>
      </c>
      <c r="AD18" s="35" t="s">
        <v>1240</v>
      </c>
      <c r="AE18" s="35" t="s">
        <v>580</v>
      </c>
      <c r="AF18" s="35" t="s">
        <v>561</v>
      </c>
      <c r="AH18" s="35" t="s">
        <v>562</v>
      </c>
      <c r="AI18" s="35">
        <v>0</v>
      </c>
      <c r="AJ18" s="35" t="s">
        <v>1241</v>
      </c>
      <c r="AK18" s="35" t="s">
        <v>1242</v>
      </c>
      <c r="AL18" s="35" t="s">
        <v>1243</v>
      </c>
      <c r="AM18" s="35" t="s">
        <v>1244</v>
      </c>
      <c r="AN18" s="35" t="s">
        <v>1245</v>
      </c>
      <c r="AO18" s="35" t="s">
        <v>1246</v>
      </c>
      <c r="AP18" s="35" t="s">
        <v>1247</v>
      </c>
      <c r="AQ18" s="35" t="s">
        <v>1247</v>
      </c>
      <c r="AS18" s="35">
        <v>0</v>
      </c>
      <c r="AT18" s="35">
        <v>270543</v>
      </c>
      <c r="AU18" s="35" t="s">
        <v>1292</v>
      </c>
      <c r="AV18" s="35" t="s">
        <v>956</v>
      </c>
      <c r="AW18" s="35" t="s">
        <v>564</v>
      </c>
      <c r="AX18" s="35" t="s">
        <v>565</v>
      </c>
      <c r="AY18" s="35" t="s">
        <v>566</v>
      </c>
      <c r="AZ18" s="35" t="s">
        <v>567</v>
      </c>
      <c r="BA18" s="35" t="s">
        <v>779</v>
      </c>
    </row>
    <row r="19" spans="1:53" s="35" customFormat="1" ht="14.25">
      <c r="A19" s="35">
        <v>18</v>
      </c>
      <c r="B19" s="35">
        <v>1</v>
      </c>
      <c r="C19" s="35">
        <v>1</v>
      </c>
      <c r="D19" s="35">
        <v>0</v>
      </c>
      <c r="E19" s="35">
        <v>0</v>
      </c>
      <c r="G19" s="35" t="s">
        <v>559</v>
      </c>
      <c r="H19" s="35" t="s">
        <v>559</v>
      </c>
      <c r="I19" s="35" t="s">
        <v>1248</v>
      </c>
      <c r="J19" s="35">
        <v>654626</v>
      </c>
      <c r="R19" s="35">
        <v>1</v>
      </c>
      <c r="Y19" s="35" t="s">
        <v>1249</v>
      </c>
      <c r="Z19" s="35" t="s">
        <v>1250</v>
      </c>
      <c r="AA19" s="35" t="s">
        <v>583</v>
      </c>
      <c r="AD19" s="36">
        <v>40124</v>
      </c>
      <c r="AF19" s="35" t="s">
        <v>561</v>
      </c>
      <c r="AG19" s="35" t="s">
        <v>561</v>
      </c>
      <c r="AJ19" s="35" t="s">
        <v>1251</v>
      </c>
      <c r="AK19" s="35" t="s">
        <v>1252</v>
      </c>
      <c r="AO19" s="35" t="s">
        <v>1253</v>
      </c>
      <c r="AP19" s="35" t="s">
        <v>1254</v>
      </c>
      <c r="AS19" s="35">
        <v>0</v>
      </c>
      <c r="AT19" s="35">
        <v>270543</v>
      </c>
      <c r="AU19" s="35" t="s">
        <v>1292</v>
      </c>
      <c r="AV19" s="35" t="s">
        <v>956</v>
      </c>
      <c r="AW19" s="35" t="s">
        <v>564</v>
      </c>
      <c r="AX19" s="35" t="s">
        <v>565</v>
      </c>
      <c r="AY19" s="35" t="s">
        <v>566</v>
      </c>
      <c r="AZ19" s="35" t="s">
        <v>567</v>
      </c>
      <c r="BA19" s="35" t="s">
        <v>779</v>
      </c>
    </row>
    <row r="20" spans="1:53" s="35" customFormat="1" ht="14.25">
      <c r="A20" s="35">
        <v>19</v>
      </c>
      <c r="B20" s="35">
        <v>1</v>
      </c>
      <c r="C20" s="35">
        <v>1</v>
      </c>
      <c r="D20" s="35">
        <v>0</v>
      </c>
      <c r="E20" s="35">
        <v>0</v>
      </c>
      <c r="F20" s="35" t="s">
        <v>1255</v>
      </c>
      <c r="G20" s="35" t="s">
        <v>559</v>
      </c>
      <c r="H20" s="35" t="s">
        <v>559</v>
      </c>
      <c r="I20" s="35" t="s">
        <v>1256</v>
      </c>
      <c r="J20" s="35">
        <v>232854</v>
      </c>
      <c r="M20" s="35" t="s">
        <v>1257</v>
      </c>
      <c r="R20" s="35">
        <v>1</v>
      </c>
      <c r="Y20" s="35" t="s">
        <v>1258</v>
      </c>
      <c r="Z20" s="35" t="s">
        <v>1259</v>
      </c>
      <c r="AA20" s="35" t="s">
        <v>1260</v>
      </c>
      <c r="AB20" s="35" t="s">
        <v>1261</v>
      </c>
      <c r="AC20" s="35" t="s">
        <v>1262</v>
      </c>
      <c r="AD20" s="35" t="s">
        <v>1263</v>
      </c>
      <c r="AE20" s="35" t="s">
        <v>560</v>
      </c>
      <c r="AF20" s="35" t="s">
        <v>561</v>
      </c>
      <c r="AH20" s="35" t="s">
        <v>562</v>
      </c>
      <c r="AI20" s="35">
        <v>0</v>
      </c>
      <c r="AJ20" s="35" t="s">
        <v>1264</v>
      </c>
      <c r="AK20" s="35" t="s">
        <v>1265</v>
      </c>
      <c r="AL20" s="35" t="s">
        <v>1266</v>
      </c>
      <c r="AM20" s="35" t="s">
        <v>1267</v>
      </c>
      <c r="AN20" s="35" t="s">
        <v>1268</v>
      </c>
      <c r="AO20" s="35" t="s">
        <v>1269</v>
      </c>
      <c r="AP20" s="35" t="s">
        <v>1270</v>
      </c>
      <c r="AQ20" s="35" t="s">
        <v>1270</v>
      </c>
      <c r="AS20" s="35">
        <v>0</v>
      </c>
      <c r="AT20" s="35">
        <v>270543</v>
      </c>
      <c r="AU20" s="35" t="s">
        <v>1292</v>
      </c>
      <c r="AV20" s="35" t="s">
        <v>956</v>
      </c>
      <c r="AW20" s="35" t="s">
        <v>564</v>
      </c>
      <c r="AX20" s="35" t="s">
        <v>565</v>
      </c>
      <c r="AY20" s="35" t="s">
        <v>566</v>
      </c>
      <c r="AZ20" s="35" t="s">
        <v>567</v>
      </c>
      <c r="BA20" s="35" t="s">
        <v>779</v>
      </c>
    </row>
    <row r="21" spans="1:53" s="35" customFormat="1" ht="14.25">
      <c r="A21" s="35">
        <v>20</v>
      </c>
      <c r="B21" s="35">
        <v>1</v>
      </c>
      <c r="C21" s="35">
        <v>1</v>
      </c>
      <c r="D21" s="35">
        <v>0</v>
      </c>
      <c r="E21" s="35">
        <v>0</v>
      </c>
      <c r="G21" s="35" t="s">
        <v>559</v>
      </c>
      <c r="H21" s="35" t="s">
        <v>559</v>
      </c>
      <c r="I21" s="35" t="s">
        <v>1271</v>
      </c>
      <c r="J21" s="35">
        <v>544196</v>
      </c>
      <c r="L21" s="35" t="s">
        <v>1272</v>
      </c>
      <c r="M21" s="35" t="s">
        <v>1273</v>
      </c>
      <c r="R21" s="35">
        <v>1</v>
      </c>
      <c r="Y21" s="35" t="s">
        <v>1274</v>
      </c>
      <c r="Z21" s="35" t="s">
        <v>1275</v>
      </c>
      <c r="AA21" s="35" t="s">
        <v>1276</v>
      </c>
      <c r="AD21" s="36">
        <v>39864</v>
      </c>
      <c r="AF21" s="35" t="s">
        <v>1277</v>
      </c>
      <c r="AJ21" s="35" t="s">
        <v>1278</v>
      </c>
      <c r="AK21" s="35" t="s">
        <v>1279</v>
      </c>
      <c r="AO21" s="35" t="s">
        <v>1280</v>
      </c>
      <c r="AP21" s="35" t="s">
        <v>1281</v>
      </c>
      <c r="AQ21" s="35" t="s">
        <v>1281</v>
      </c>
      <c r="AS21" s="35">
        <v>0</v>
      </c>
      <c r="AT21" s="35">
        <v>270543</v>
      </c>
      <c r="AU21" s="35" t="s">
        <v>1292</v>
      </c>
      <c r="AV21" s="35" t="s">
        <v>956</v>
      </c>
      <c r="AW21" s="35" t="s">
        <v>564</v>
      </c>
      <c r="AX21" s="35" t="s">
        <v>565</v>
      </c>
      <c r="AY21" s="35" t="s">
        <v>566</v>
      </c>
      <c r="AZ21" s="35" t="s">
        <v>567</v>
      </c>
      <c r="BA21" s="35" t="s">
        <v>779</v>
      </c>
    </row>
    <row r="22" spans="1:53" s="35" customFormat="1" ht="14.25">
      <c r="A22" s="35">
        <v>21</v>
      </c>
      <c r="B22" s="35">
        <v>1</v>
      </c>
      <c r="C22" s="35">
        <v>1</v>
      </c>
      <c r="D22" s="35">
        <v>0</v>
      </c>
      <c r="E22" s="35">
        <v>0</v>
      </c>
      <c r="G22" s="35" t="s">
        <v>559</v>
      </c>
      <c r="H22" s="35" t="s">
        <v>559</v>
      </c>
      <c r="I22" s="35" t="s">
        <v>1282</v>
      </c>
      <c r="J22" s="35">
        <v>317824</v>
      </c>
      <c r="K22" s="35" t="s">
        <v>1283</v>
      </c>
      <c r="L22" s="35" t="s">
        <v>1284</v>
      </c>
      <c r="M22" s="35" t="s">
        <v>1285</v>
      </c>
      <c r="R22" s="35">
        <v>1</v>
      </c>
      <c r="Y22" s="35" t="s">
        <v>1286</v>
      </c>
      <c r="Z22" s="35" t="s">
        <v>1287</v>
      </c>
      <c r="AA22" s="35" t="s">
        <v>1032</v>
      </c>
      <c r="AD22" s="36">
        <v>36154</v>
      </c>
      <c r="AF22" s="35" t="s">
        <v>561</v>
      </c>
      <c r="AJ22" s="35" t="s">
        <v>1288</v>
      </c>
      <c r="AK22" s="35" t="s">
        <v>1289</v>
      </c>
      <c r="AO22" s="35" t="s">
        <v>1290</v>
      </c>
      <c r="AP22" s="35" t="s">
        <v>1291</v>
      </c>
      <c r="AQ22" s="35" t="s">
        <v>1291</v>
      </c>
      <c r="AS22" s="35">
        <v>0</v>
      </c>
      <c r="AT22" s="35">
        <v>270543</v>
      </c>
      <c r="AU22" s="35" t="s">
        <v>1292</v>
      </c>
      <c r="AV22" s="35" t="s">
        <v>956</v>
      </c>
      <c r="AW22" s="35" t="s">
        <v>564</v>
      </c>
      <c r="AX22" s="35" t="s">
        <v>565</v>
      </c>
      <c r="AY22" s="35" t="s">
        <v>566</v>
      </c>
      <c r="AZ22" s="35" t="s">
        <v>567</v>
      </c>
      <c r="BA22" s="35" t="s">
        <v>779</v>
      </c>
    </row>
    <row r="23" spans="1:53" s="35" customFormat="1" ht="14.25">
      <c r="A23" s="35">
        <v>22</v>
      </c>
      <c r="B23" s="35">
        <v>1</v>
      </c>
      <c r="C23" s="35">
        <v>1</v>
      </c>
      <c r="D23" s="35">
        <v>0</v>
      </c>
      <c r="E23" s="35">
        <v>0</v>
      </c>
      <c r="G23" s="35" t="s">
        <v>559</v>
      </c>
      <c r="H23" s="35" t="s">
        <v>559</v>
      </c>
      <c r="I23" s="35" t="s">
        <v>569</v>
      </c>
      <c r="J23" s="35">
        <v>593914</v>
      </c>
      <c r="K23" s="35" t="s">
        <v>570</v>
      </c>
      <c r="L23" s="35" t="s">
        <v>571</v>
      </c>
      <c r="M23" s="35" t="s">
        <v>572</v>
      </c>
      <c r="R23" s="35">
        <v>1</v>
      </c>
      <c r="Y23" s="35" t="s">
        <v>573</v>
      </c>
      <c r="Z23" s="35" t="s">
        <v>574</v>
      </c>
      <c r="AA23" s="35" t="s">
        <v>575</v>
      </c>
      <c r="AD23" s="36">
        <v>38399</v>
      </c>
      <c r="AF23" s="35" t="s">
        <v>561</v>
      </c>
      <c r="AJ23" s="35" t="s">
        <v>576</v>
      </c>
      <c r="AK23" s="35" t="s">
        <v>577</v>
      </c>
      <c r="AO23" s="35" t="s">
        <v>578</v>
      </c>
      <c r="AP23" s="35" t="s">
        <v>579</v>
      </c>
      <c r="AQ23" s="35" t="s">
        <v>579</v>
      </c>
      <c r="AS23" s="35">
        <v>0</v>
      </c>
      <c r="AT23" s="35">
        <v>270348</v>
      </c>
      <c r="AU23" s="35" t="s">
        <v>1293</v>
      </c>
      <c r="AV23" s="35" t="s">
        <v>563</v>
      </c>
      <c r="AW23" s="35" t="s">
        <v>564</v>
      </c>
      <c r="AX23" s="35" t="s">
        <v>565</v>
      </c>
      <c r="AY23" s="35" t="s">
        <v>566</v>
      </c>
      <c r="AZ23" s="35" t="s">
        <v>567</v>
      </c>
      <c r="BA23" s="35" t="s">
        <v>568</v>
      </c>
    </row>
    <row r="24" spans="1:53" s="35" customFormat="1" ht="14.25">
      <c r="A24" s="35">
        <v>23</v>
      </c>
      <c r="B24" s="35">
        <v>1</v>
      </c>
      <c r="C24" s="35">
        <v>1</v>
      </c>
      <c r="D24" s="35">
        <v>0</v>
      </c>
      <c r="E24" s="35">
        <v>0</v>
      </c>
      <c r="G24" s="35" t="s">
        <v>559</v>
      </c>
      <c r="H24" s="35" t="s">
        <v>559</v>
      </c>
      <c r="I24" s="35" t="s">
        <v>589</v>
      </c>
      <c r="J24" s="35">
        <v>511099</v>
      </c>
      <c r="K24" s="35" t="s">
        <v>590</v>
      </c>
      <c r="R24" s="35">
        <v>1</v>
      </c>
      <c r="Y24" s="35" t="s">
        <v>591</v>
      </c>
      <c r="Z24" s="35" t="s">
        <v>592</v>
      </c>
      <c r="AA24" s="35" t="s">
        <v>593</v>
      </c>
      <c r="AD24" s="36">
        <v>39698</v>
      </c>
      <c r="AF24" s="35" t="s">
        <v>561</v>
      </c>
      <c r="AJ24" s="35" t="s">
        <v>594</v>
      </c>
      <c r="AK24" s="35" t="s">
        <v>595</v>
      </c>
      <c r="AO24" s="35" t="s">
        <v>596</v>
      </c>
      <c r="AP24" s="35" t="s">
        <v>597</v>
      </c>
      <c r="AQ24" s="35" t="s">
        <v>597</v>
      </c>
      <c r="AS24" s="35">
        <v>0</v>
      </c>
      <c r="AT24" s="35">
        <v>270348</v>
      </c>
      <c r="AU24" s="35" t="s">
        <v>1293</v>
      </c>
      <c r="AV24" s="35" t="s">
        <v>563</v>
      </c>
      <c r="AW24" s="35" t="s">
        <v>564</v>
      </c>
      <c r="AX24" s="35" t="s">
        <v>565</v>
      </c>
      <c r="AY24" s="35" t="s">
        <v>566</v>
      </c>
      <c r="AZ24" s="35" t="s">
        <v>567</v>
      </c>
      <c r="BA24" s="35" t="s">
        <v>568</v>
      </c>
    </row>
    <row r="25" spans="1:53" s="35" customFormat="1" ht="14.25">
      <c r="A25" s="35">
        <v>24</v>
      </c>
      <c r="B25" s="35">
        <v>1</v>
      </c>
      <c r="C25" s="35">
        <v>1</v>
      </c>
      <c r="D25" s="35">
        <v>0</v>
      </c>
      <c r="E25" s="35">
        <v>0</v>
      </c>
      <c r="G25" s="35" t="s">
        <v>559</v>
      </c>
      <c r="H25" s="35" t="s">
        <v>559</v>
      </c>
      <c r="I25" s="35" t="s">
        <v>601</v>
      </c>
      <c r="J25" s="35">
        <v>420293</v>
      </c>
      <c r="K25" s="35" t="s">
        <v>602</v>
      </c>
      <c r="L25" s="35" t="s">
        <v>603</v>
      </c>
      <c r="M25" s="35" t="s">
        <v>604</v>
      </c>
      <c r="R25" s="35">
        <v>1</v>
      </c>
      <c r="Y25" s="35" t="s">
        <v>605</v>
      </c>
      <c r="Z25" s="35" t="s">
        <v>606</v>
      </c>
      <c r="AA25" s="35" t="s">
        <v>607</v>
      </c>
      <c r="AD25" s="36">
        <v>39820</v>
      </c>
      <c r="AF25" s="35" t="s">
        <v>561</v>
      </c>
      <c r="AJ25" s="35" t="s">
        <v>608</v>
      </c>
      <c r="AK25" s="35" t="s">
        <v>609</v>
      </c>
      <c r="AO25" s="35" t="s">
        <v>560</v>
      </c>
      <c r="AP25" s="35" t="s">
        <v>610</v>
      </c>
      <c r="AQ25" s="35" t="s">
        <v>610</v>
      </c>
      <c r="AS25" s="35">
        <v>0</v>
      </c>
      <c r="AT25" s="35">
        <v>270348</v>
      </c>
      <c r="AU25" s="35" t="s">
        <v>1293</v>
      </c>
      <c r="AV25" s="35" t="s">
        <v>563</v>
      </c>
      <c r="AW25" s="35" t="s">
        <v>564</v>
      </c>
      <c r="AX25" s="35" t="s">
        <v>565</v>
      </c>
      <c r="AY25" s="35" t="s">
        <v>566</v>
      </c>
      <c r="AZ25" s="35" t="s">
        <v>567</v>
      </c>
      <c r="BA25" s="35" t="s">
        <v>568</v>
      </c>
    </row>
    <row r="26" spans="1:53" s="35" customFormat="1" ht="14.25">
      <c r="A26" s="35">
        <v>25</v>
      </c>
      <c r="B26" s="35">
        <v>1</v>
      </c>
      <c r="C26" s="35">
        <v>1</v>
      </c>
      <c r="D26" s="35">
        <v>0</v>
      </c>
      <c r="E26" s="35">
        <v>0</v>
      </c>
      <c r="G26" s="35" t="s">
        <v>559</v>
      </c>
      <c r="H26" s="35" t="s">
        <v>559</v>
      </c>
      <c r="I26" s="35" t="s">
        <v>611</v>
      </c>
      <c r="J26" s="35">
        <v>134732</v>
      </c>
      <c r="K26" s="35" t="s">
        <v>612</v>
      </c>
      <c r="L26" s="35" t="s">
        <v>613</v>
      </c>
      <c r="M26" s="35" t="s">
        <v>614</v>
      </c>
      <c r="R26" s="35">
        <v>1</v>
      </c>
      <c r="Y26" s="35" t="s">
        <v>615</v>
      </c>
      <c r="Z26" s="35" t="s">
        <v>616</v>
      </c>
      <c r="AA26" s="35" t="s">
        <v>617</v>
      </c>
      <c r="AB26" s="35" t="s">
        <v>618</v>
      </c>
      <c r="AC26" s="35" t="s">
        <v>619</v>
      </c>
      <c r="AD26" s="35" t="s">
        <v>620</v>
      </c>
      <c r="AE26" s="35" t="s">
        <v>580</v>
      </c>
      <c r="AF26" s="35" t="s">
        <v>561</v>
      </c>
      <c r="AH26" s="35" t="s">
        <v>562</v>
      </c>
      <c r="AI26" s="35">
        <v>0</v>
      </c>
      <c r="AJ26" s="35" t="s">
        <v>621</v>
      </c>
      <c r="AK26" s="35" t="s">
        <v>622</v>
      </c>
      <c r="AL26" s="35" t="s">
        <v>623</v>
      </c>
      <c r="AM26" s="35" t="s">
        <v>624</v>
      </c>
      <c r="AN26" s="35" t="s">
        <v>625</v>
      </c>
      <c r="AO26" s="35" t="s">
        <v>626</v>
      </c>
      <c r="AP26" s="35" t="s">
        <v>627</v>
      </c>
      <c r="AQ26" s="35" t="s">
        <v>627</v>
      </c>
      <c r="AS26" s="35">
        <v>0</v>
      </c>
      <c r="AT26" s="35">
        <v>270348</v>
      </c>
      <c r="AU26" s="35" t="s">
        <v>1293</v>
      </c>
      <c r="AV26" s="35" t="s">
        <v>563</v>
      </c>
      <c r="AW26" s="35" t="s">
        <v>564</v>
      </c>
      <c r="AX26" s="35" t="s">
        <v>565</v>
      </c>
      <c r="AY26" s="35" t="s">
        <v>566</v>
      </c>
      <c r="AZ26" s="35" t="s">
        <v>567</v>
      </c>
      <c r="BA26" s="35" t="s">
        <v>568</v>
      </c>
    </row>
    <row r="27" spans="1:53" s="35" customFormat="1" ht="14.25">
      <c r="A27" s="35">
        <v>26</v>
      </c>
      <c r="B27" s="35">
        <v>1</v>
      </c>
      <c r="C27" s="35">
        <v>1</v>
      </c>
      <c r="D27" s="35">
        <v>0</v>
      </c>
      <c r="E27" s="35">
        <v>0</v>
      </c>
      <c r="G27" s="35" t="s">
        <v>559</v>
      </c>
      <c r="H27" s="35" t="s">
        <v>559</v>
      </c>
      <c r="I27" s="35" t="s">
        <v>628</v>
      </c>
      <c r="J27" s="35">
        <v>400237</v>
      </c>
      <c r="K27" s="35" t="s">
        <v>629</v>
      </c>
      <c r="L27" s="35" t="s">
        <v>630</v>
      </c>
      <c r="M27" s="35" t="s">
        <v>631</v>
      </c>
      <c r="R27" s="35">
        <v>1</v>
      </c>
      <c r="Y27" s="35" t="s">
        <v>632</v>
      </c>
      <c r="Z27" s="35" t="s">
        <v>633</v>
      </c>
      <c r="AA27" s="35" t="s">
        <v>634</v>
      </c>
      <c r="AD27" s="36">
        <v>37945</v>
      </c>
      <c r="AF27" s="35" t="s">
        <v>635</v>
      </c>
      <c r="AJ27" s="35" t="s">
        <v>636</v>
      </c>
      <c r="AK27" s="35" t="s">
        <v>637</v>
      </c>
      <c r="AO27" s="35" t="s">
        <v>638</v>
      </c>
      <c r="AP27" s="35" t="s">
        <v>639</v>
      </c>
      <c r="AQ27" s="35" t="s">
        <v>639</v>
      </c>
      <c r="AS27" s="35">
        <v>0</v>
      </c>
      <c r="AT27" s="35">
        <v>270348</v>
      </c>
      <c r="AU27" s="35" t="s">
        <v>1293</v>
      </c>
      <c r="AV27" s="35" t="s">
        <v>563</v>
      </c>
      <c r="AW27" s="35" t="s">
        <v>564</v>
      </c>
      <c r="AX27" s="35" t="s">
        <v>565</v>
      </c>
      <c r="AY27" s="35" t="s">
        <v>566</v>
      </c>
      <c r="AZ27" s="35" t="s">
        <v>567</v>
      </c>
      <c r="BA27" s="35" t="s">
        <v>568</v>
      </c>
    </row>
    <row r="28" spans="1:53" s="35" customFormat="1" ht="14.25">
      <c r="A28" s="35">
        <v>27</v>
      </c>
      <c r="B28" s="35">
        <v>1</v>
      </c>
      <c r="C28" s="35">
        <v>1</v>
      </c>
      <c r="D28" s="35">
        <v>0</v>
      </c>
      <c r="E28" s="35">
        <v>0</v>
      </c>
      <c r="G28" s="35" t="s">
        <v>559</v>
      </c>
      <c r="H28" s="35" t="s">
        <v>559</v>
      </c>
      <c r="I28" s="35" t="s">
        <v>640</v>
      </c>
      <c r="J28" s="35">
        <v>657280</v>
      </c>
      <c r="R28" s="35">
        <v>1</v>
      </c>
      <c r="Y28" s="35" t="s">
        <v>641</v>
      </c>
      <c r="Z28" s="35" t="s">
        <v>642</v>
      </c>
      <c r="AA28" s="35" t="s">
        <v>643</v>
      </c>
      <c r="AB28" s="35" t="s">
        <v>644</v>
      </c>
      <c r="AC28" s="35" t="s">
        <v>645</v>
      </c>
      <c r="AD28" s="35" t="s">
        <v>646</v>
      </c>
      <c r="AE28" s="35" t="s">
        <v>598</v>
      </c>
      <c r="AF28" s="35" t="s">
        <v>561</v>
      </c>
      <c r="AH28" s="35" t="s">
        <v>647</v>
      </c>
      <c r="AI28" s="35">
        <v>0</v>
      </c>
      <c r="AJ28" s="35" t="s">
        <v>648</v>
      </c>
      <c r="AK28" s="35" t="s">
        <v>649</v>
      </c>
      <c r="AL28" s="35" t="s">
        <v>650</v>
      </c>
      <c r="AM28" s="35" t="s">
        <v>582</v>
      </c>
      <c r="AN28" s="35" t="s">
        <v>651</v>
      </c>
      <c r="AO28" s="35" t="s">
        <v>560</v>
      </c>
      <c r="AP28" s="35" t="s">
        <v>652</v>
      </c>
      <c r="AQ28" s="35" t="s">
        <v>652</v>
      </c>
      <c r="AS28" s="35">
        <v>0</v>
      </c>
      <c r="AT28" s="35">
        <v>270348</v>
      </c>
      <c r="AU28" s="35" t="s">
        <v>1293</v>
      </c>
      <c r="AV28" s="35" t="s">
        <v>563</v>
      </c>
      <c r="AW28" s="35" t="s">
        <v>564</v>
      </c>
      <c r="AX28" s="35" t="s">
        <v>565</v>
      </c>
      <c r="AY28" s="35" t="s">
        <v>566</v>
      </c>
      <c r="AZ28" s="35" t="s">
        <v>567</v>
      </c>
      <c r="BA28" s="35" t="s">
        <v>568</v>
      </c>
    </row>
    <row r="29" spans="1:53" s="35" customFormat="1" ht="14.25">
      <c r="A29" s="35">
        <v>28</v>
      </c>
      <c r="B29" s="35">
        <v>1</v>
      </c>
      <c r="C29" s="35">
        <v>1</v>
      </c>
      <c r="D29" s="35">
        <v>0</v>
      </c>
      <c r="E29" s="35">
        <v>0</v>
      </c>
      <c r="G29" s="35" t="s">
        <v>559</v>
      </c>
      <c r="H29" s="35" t="s">
        <v>559</v>
      </c>
      <c r="I29" s="35" t="s">
        <v>653</v>
      </c>
      <c r="J29" s="35">
        <v>109417</v>
      </c>
      <c r="K29" s="35" t="s">
        <v>654</v>
      </c>
      <c r="L29" s="35" t="s">
        <v>655</v>
      </c>
      <c r="M29" s="35" t="s">
        <v>656</v>
      </c>
      <c r="R29" s="35">
        <v>1</v>
      </c>
      <c r="Y29" s="35" t="s">
        <v>657</v>
      </c>
      <c r="Z29" s="35" t="s">
        <v>658</v>
      </c>
      <c r="AA29" s="35" t="s">
        <v>659</v>
      </c>
      <c r="AB29" s="35" t="s">
        <v>660</v>
      </c>
      <c r="AC29" s="35" t="s">
        <v>661</v>
      </c>
      <c r="AD29" s="35" t="s">
        <v>662</v>
      </c>
      <c r="AE29" s="35" t="s">
        <v>599</v>
      </c>
      <c r="AF29" s="35" t="s">
        <v>561</v>
      </c>
      <c r="AH29" s="35" t="s">
        <v>647</v>
      </c>
      <c r="AI29" s="35">
        <v>0</v>
      </c>
      <c r="AJ29" s="35" t="s">
        <v>663</v>
      </c>
      <c r="AK29" s="35" t="s">
        <v>664</v>
      </c>
      <c r="AL29" s="35" t="s">
        <v>665</v>
      </c>
      <c r="AM29" s="35" t="s">
        <v>666</v>
      </c>
      <c r="AN29" s="35" t="s">
        <v>667</v>
      </c>
      <c r="AO29" s="35" t="s">
        <v>560</v>
      </c>
      <c r="AP29" s="35" t="s">
        <v>668</v>
      </c>
      <c r="AQ29" s="35" t="s">
        <v>668</v>
      </c>
      <c r="AS29" s="35">
        <v>0</v>
      </c>
      <c r="AT29" s="35">
        <v>270348</v>
      </c>
      <c r="AU29" s="35" t="s">
        <v>1293</v>
      </c>
      <c r="AV29" s="35" t="s">
        <v>563</v>
      </c>
      <c r="AW29" s="35" t="s">
        <v>564</v>
      </c>
      <c r="AX29" s="35" t="s">
        <v>565</v>
      </c>
      <c r="AY29" s="35" t="s">
        <v>566</v>
      </c>
      <c r="AZ29" s="35" t="s">
        <v>567</v>
      </c>
      <c r="BA29" s="35" t="s">
        <v>568</v>
      </c>
    </row>
    <row r="30" spans="1:53" s="35" customFormat="1" ht="14.25">
      <c r="A30" s="35">
        <v>29</v>
      </c>
      <c r="B30" s="35">
        <v>1</v>
      </c>
      <c r="C30" s="35">
        <v>1</v>
      </c>
      <c r="D30" s="35">
        <v>0</v>
      </c>
      <c r="E30" s="35">
        <v>0</v>
      </c>
      <c r="G30" s="35" t="s">
        <v>559</v>
      </c>
      <c r="H30" s="35" t="s">
        <v>559</v>
      </c>
      <c r="I30" s="35" t="s">
        <v>669</v>
      </c>
      <c r="J30" s="35">
        <v>142476</v>
      </c>
      <c r="K30" s="35" t="s">
        <v>670</v>
      </c>
      <c r="L30" s="35" t="s">
        <v>671</v>
      </c>
      <c r="M30" s="35" t="s">
        <v>672</v>
      </c>
      <c r="R30" s="35">
        <v>1</v>
      </c>
      <c r="Y30" s="35" t="s">
        <v>673</v>
      </c>
      <c r="Z30" s="35" t="s">
        <v>674</v>
      </c>
      <c r="AA30" s="35" t="s">
        <v>675</v>
      </c>
      <c r="AB30" s="35" t="s">
        <v>676</v>
      </c>
      <c r="AC30" s="35" t="s">
        <v>677</v>
      </c>
      <c r="AD30" s="35" t="s">
        <v>678</v>
      </c>
      <c r="AE30" s="35" t="s">
        <v>560</v>
      </c>
      <c r="AF30" s="35" t="s">
        <v>561</v>
      </c>
      <c r="AH30" s="35" t="s">
        <v>647</v>
      </c>
      <c r="AI30" s="35">
        <v>0</v>
      </c>
      <c r="AJ30" s="35" t="s">
        <v>679</v>
      </c>
      <c r="AK30" s="35" t="s">
        <v>680</v>
      </c>
      <c r="AL30" s="35" t="s">
        <v>681</v>
      </c>
      <c r="AM30" s="35" t="s">
        <v>682</v>
      </c>
      <c r="AN30" s="35" t="s">
        <v>683</v>
      </c>
      <c r="AO30" s="35" t="s">
        <v>560</v>
      </c>
      <c r="AP30" s="35" t="s">
        <v>684</v>
      </c>
      <c r="AQ30" s="35" t="s">
        <v>684</v>
      </c>
      <c r="AS30" s="35">
        <v>0</v>
      </c>
      <c r="AT30" s="35">
        <v>270348</v>
      </c>
      <c r="AU30" s="35" t="s">
        <v>1293</v>
      </c>
      <c r="AV30" s="35" t="s">
        <v>563</v>
      </c>
      <c r="AW30" s="35" t="s">
        <v>564</v>
      </c>
      <c r="AX30" s="35" t="s">
        <v>565</v>
      </c>
      <c r="AY30" s="35" t="s">
        <v>566</v>
      </c>
      <c r="AZ30" s="35" t="s">
        <v>567</v>
      </c>
      <c r="BA30" s="35" t="s">
        <v>568</v>
      </c>
    </row>
    <row r="31" spans="1:53" s="35" customFormat="1" ht="14.25">
      <c r="A31" s="35">
        <v>30</v>
      </c>
      <c r="B31" s="35">
        <v>1</v>
      </c>
      <c r="C31" s="35">
        <v>1</v>
      </c>
      <c r="D31" s="35">
        <v>0</v>
      </c>
      <c r="E31" s="35">
        <v>0</v>
      </c>
      <c r="G31" s="35" t="s">
        <v>559</v>
      </c>
      <c r="H31" s="35" t="s">
        <v>559</v>
      </c>
      <c r="I31" s="35" t="s">
        <v>685</v>
      </c>
      <c r="J31" s="35">
        <v>565798</v>
      </c>
      <c r="K31" s="35" t="s">
        <v>686</v>
      </c>
      <c r="L31" s="35" t="s">
        <v>687</v>
      </c>
      <c r="M31" s="35" t="s">
        <v>688</v>
      </c>
      <c r="R31" s="35">
        <v>1</v>
      </c>
      <c r="Y31" s="35" t="s">
        <v>689</v>
      </c>
      <c r="Z31" s="35" t="s">
        <v>690</v>
      </c>
      <c r="AA31" s="35" t="s">
        <v>691</v>
      </c>
      <c r="AD31" s="36">
        <v>39499</v>
      </c>
      <c r="AF31" s="35" t="s">
        <v>561</v>
      </c>
      <c r="AJ31" s="35" t="s">
        <v>692</v>
      </c>
      <c r="AK31" s="35" t="s">
        <v>693</v>
      </c>
      <c r="AO31" s="35" t="s">
        <v>599</v>
      </c>
      <c r="AP31" s="35" t="s">
        <v>694</v>
      </c>
      <c r="AQ31" s="35" t="s">
        <v>694</v>
      </c>
      <c r="AS31" s="35">
        <v>0</v>
      </c>
      <c r="AT31" s="35">
        <v>270348</v>
      </c>
      <c r="AU31" s="35" t="s">
        <v>1293</v>
      </c>
      <c r="AV31" s="35" t="s">
        <v>563</v>
      </c>
      <c r="AW31" s="35" t="s">
        <v>564</v>
      </c>
      <c r="AX31" s="35" t="s">
        <v>565</v>
      </c>
      <c r="AY31" s="35" t="s">
        <v>566</v>
      </c>
      <c r="AZ31" s="35" t="s">
        <v>567</v>
      </c>
      <c r="BA31" s="35" t="s">
        <v>568</v>
      </c>
    </row>
    <row r="32" spans="1:53" s="35" customFormat="1" ht="14.25">
      <c r="A32" s="35">
        <v>31</v>
      </c>
      <c r="B32" s="35">
        <v>1</v>
      </c>
      <c r="C32" s="35">
        <v>1</v>
      </c>
      <c r="D32" s="35">
        <v>0</v>
      </c>
      <c r="E32" s="35">
        <v>0</v>
      </c>
      <c r="G32" s="35" t="s">
        <v>559</v>
      </c>
      <c r="H32" s="35" t="s">
        <v>559</v>
      </c>
      <c r="I32" s="35" t="s">
        <v>695</v>
      </c>
      <c r="J32" s="35">
        <v>365063</v>
      </c>
      <c r="K32" s="35" t="s">
        <v>696</v>
      </c>
      <c r="R32" s="35">
        <v>1</v>
      </c>
      <c r="Y32" s="35" t="s">
        <v>697</v>
      </c>
      <c r="Z32" s="35" t="s">
        <v>698</v>
      </c>
      <c r="AA32" s="35" t="s">
        <v>699</v>
      </c>
      <c r="AD32" s="36">
        <v>39576</v>
      </c>
      <c r="AF32" s="35" t="s">
        <v>561</v>
      </c>
      <c r="AJ32" s="35" t="s">
        <v>700</v>
      </c>
      <c r="AK32" s="35" t="s">
        <v>701</v>
      </c>
      <c r="AO32" s="35" t="s">
        <v>702</v>
      </c>
      <c r="AP32" s="35" t="s">
        <v>703</v>
      </c>
      <c r="AQ32" s="35" t="s">
        <v>703</v>
      </c>
      <c r="AS32" s="35">
        <v>0</v>
      </c>
      <c r="AT32" s="35">
        <v>270348</v>
      </c>
      <c r="AU32" s="35" t="s">
        <v>1293</v>
      </c>
      <c r="AV32" s="35" t="s">
        <v>563</v>
      </c>
      <c r="AW32" s="35" t="s">
        <v>564</v>
      </c>
      <c r="AX32" s="35" t="s">
        <v>565</v>
      </c>
      <c r="AY32" s="35" t="s">
        <v>566</v>
      </c>
      <c r="AZ32" s="35" t="s">
        <v>567</v>
      </c>
      <c r="BA32" s="35" t="s">
        <v>568</v>
      </c>
    </row>
    <row r="33" spans="1:53" s="35" customFormat="1" ht="14.25">
      <c r="A33" s="35">
        <v>32</v>
      </c>
      <c r="B33" s="35">
        <v>1</v>
      </c>
      <c r="C33" s="35">
        <v>1</v>
      </c>
      <c r="D33" s="35">
        <v>0</v>
      </c>
      <c r="E33" s="35">
        <v>0</v>
      </c>
      <c r="G33" s="35" t="s">
        <v>559</v>
      </c>
      <c r="H33" s="35" t="s">
        <v>559</v>
      </c>
      <c r="I33" s="35" t="s">
        <v>704</v>
      </c>
      <c r="J33" s="35">
        <v>312641</v>
      </c>
      <c r="K33" s="35" t="s">
        <v>705</v>
      </c>
      <c r="L33" s="35" t="s">
        <v>706</v>
      </c>
      <c r="M33" s="35" t="s">
        <v>707</v>
      </c>
      <c r="R33" s="35">
        <v>1</v>
      </c>
      <c r="Y33" s="35" t="s">
        <v>708</v>
      </c>
      <c r="Z33" s="35" t="s">
        <v>709</v>
      </c>
      <c r="AA33" s="35" t="s">
        <v>710</v>
      </c>
      <c r="AB33" s="35" t="s">
        <v>711</v>
      </c>
      <c r="AC33" s="35" t="s">
        <v>712</v>
      </c>
      <c r="AD33" s="35" t="s">
        <v>713</v>
      </c>
      <c r="AE33" s="35" t="s">
        <v>560</v>
      </c>
      <c r="AF33" s="35" t="s">
        <v>561</v>
      </c>
      <c r="AH33" s="35" t="s">
        <v>647</v>
      </c>
      <c r="AI33" s="35">
        <v>0</v>
      </c>
      <c r="AJ33" s="35" t="s">
        <v>714</v>
      </c>
      <c r="AK33" s="35" t="s">
        <v>715</v>
      </c>
      <c r="AL33" s="35" t="s">
        <v>716</v>
      </c>
      <c r="AM33" s="35" t="s">
        <v>717</v>
      </c>
      <c r="AN33" s="35" t="s">
        <v>718</v>
      </c>
      <c r="AO33" s="35" t="s">
        <v>560</v>
      </c>
      <c r="AP33" s="35" t="s">
        <v>719</v>
      </c>
      <c r="AQ33" s="35" t="s">
        <v>719</v>
      </c>
      <c r="AS33" s="35">
        <v>0</v>
      </c>
      <c r="AT33" s="35">
        <v>270348</v>
      </c>
      <c r="AU33" s="35" t="s">
        <v>1293</v>
      </c>
      <c r="AV33" s="35" t="s">
        <v>563</v>
      </c>
      <c r="AW33" s="35" t="s">
        <v>564</v>
      </c>
      <c r="AX33" s="35" t="s">
        <v>565</v>
      </c>
      <c r="AY33" s="35" t="s">
        <v>566</v>
      </c>
      <c r="AZ33" s="35" t="s">
        <v>567</v>
      </c>
      <c r="BA33" s="35" t="s">
        <v>568</v>
      </c>
    </row>
    <row r="34" spans="1:53" s="35" customFormat="1" ht="14.25">
      <c r="A34" s="35">
        <v>33</v>
      </c>
      <c r="B34" s="35">
        <v>1</v>
      </c>
      <c r="C34" s="35">
        <v>1</v>
      </c>
      <c r="D34" s="35">
        <v>0</v>
      </c>
      <c r="E34" s="35">
        <v>0</v>
      </c>
      <c r="G34" s="35" t="s">
        <v>559</v>
      </c>
      <c r="H34" s="35" t="s">
        <v>559</v>
      </c>
      <c r="I34" s="35" t="s">
        <v>720</v>
      </c>
      <c r="J34" s="35">
        <v>321524</v>
      </c>
      <c r="K34" s="35" t="s">
        <v>721</v>
      </c>
      <c r="L34" s="35" t="s">
        <v>722</v>
      </c>
      <c r="R34" s="35">
        <v>1</v>
      </c>
      <c r="Y34" s="35" t="s">
        <v>723</v>
      </c>
      <c r="Z34" s="35" t="s">
        <v>624</v>
      </c>
      <c r="AA34" s="35" t="s">
        <v>724</v>
      </c>
      <c r="AD34" s="36">
        <v>39757</v>
      </c>
      <c r="AF34" s="35" t="s">
        <v>561</v>
      </c>
      <c r="AJ34" s="35" t="s">
        <v>725</v>
      </c>
      <c r="AK34" s="35" t="s">
        <v>726</v>
      </c>
      <c r="AO34" s="35" t="s">
        <v>727</v>
      </c>
      <c r="AP34" s="35" t="s">
        <v>728</v>
      </c>
      <c r="AQ34" s="35" t="s">
        <v>728</v>
      </c>
      <c r="AS34" s="35">
        <v>0</v>
      </c>
      <c r="AT34" s="35">
        <v>270348</v>
      </c>
      <c r="AU34" s="35" t="s">
        <v>1293</v>
      </c>
      <c r="AV34" s="35" t="s">
        <v>563</v>
      </c>
      <c r="AW34" s="35" t="s">
        <v>564</v>
      </c>
      <c r="AX34" s="35" t="s">
        <v>565</v>
      </c>
      <c r="AY34" s="35" t="s">
        <v>566</v>
      </c>
      <c r="AZ34" s="35" t="s">
        <v>567</v>
      </c>
      <c r="BA34" s="35" t="s">
        <v>568</v>
      </c>
    </row>
    <row r="35" spans="1:53" s="35" customFormat="1" ht="14.25">
      <c r="A35" s="35">
        <v>34</v>
      </c>
      <c r="B35" s="35">
        <v>1</v>
      </c>
      <c r="C35" s="35">
        <v>1</v>
      </c>
      <c r="D35" s="35">
        <v>0</v>
      </c>
      <c r="E35" s="35">
        <v>0</v>
      </c>
      <c r="G35" s="35" t="s">
        <v>559</v>
      </c>
      <c r="H35" s="35" t="s">
        <v>559</v>
      </c>
      <c r="I35" s="35" t="s">
        <v>730</v>
      </c>
      <c r="J35" s="35">
        <v>341001</v>
      </c>
      <c r="K35" s="35" t="s">
        <v>731</v>
      </c>
      <c r="L35" s="35" t="s">
        <v>732</v>
      </c>
      <c r="M35" s="35" t="s">
        <v>733</v>
      </c>
      <c r="R35" s="35">
        <v>1</v>
      </c>
      <c r="Y35" s="35" t="s">
        <v>734</v>
      </c>
      <c r="Z35" s="35" t="s">
        <v>735</v>
      </c>
      <c r="AA35" s="35" t="s">
        <v>736</v>
      </c>
      <c r="AD35" s="36">
        <v>39809</v>
      </c>
      <c r="AF35" s="35" t="s">
        <v>561</v>
      </c>
      <c r="AJ35" s="35" t="s">
        <v>737</v>
      </c>
      <c r="AK35" s="35" t="s">
        <v>738</v>
      </c>
      <c r="AO35" s="35" t="s">
        <v>560</v>
      </c>
      <c r="AP35" s="35" t="s">
        <v>739</v>
      </c>
      <c r="AQ35" s="35" t="s">
        <v>739</v>
      </c>
      <c r="AS35" s="35">
        <v>0</v>
      </c>
      <c r="AT35" s="35">
        <v>270348</v>
      </c>
      <c r="AU35" s="35" t="s">
        <v>1293</v>
      </c>
      <c r="AV35" s="35" t="s">
        <v>563</v>
      </c>
      <c r="AW35" s="35" t="s">
        <v>564</v>
      </c>
      <c r="AX35" s="35" t="s">
        <v>565</v>
      </c>
      <c r="AY35" s="35" t="s">
        <v>566</v>
      </c>
      <c r="AZ35" s="35" t="s">
        <v>567</v>
      </c>
      <c r="BA35" s="35" t="s">
        <v>568</v>
      </c>
    </row>
    <row r="36" spans="1:53" s="35" customFormat="1" ht="14.25">
      <c r="A36" s="35">
        <v>35</v>
      </c>
      <c r="B36" s="35">
        <v>1</v>
      </c>
      <c r="C36" s="35">
        <v>1</v>
      </c>
      <c r="D36" s="35">
        <v>0</v>
      </c>
      <c r="E36" s="35">
        <v>0</v>
      </c>
      <c r="G36" s="35" t="s">
        <v>559</v>
      </c>
      <c r="H36" s="35" t="s">
        <v>559</v>
      </c>
      <c r="I36" s="35" t="s">
        <v>740</v>
      </c>
      <c r="J36" s="35">
        <v>566433</v>
      </c>
      <c r="K36" s="35" t="s">
        <v>741</v>
      </c>
      <c r="L36" s="35" t="s">
        <v>742</v>
      </c>
      <c r="M36" s="35" t="s">
        <v>743</v>
      </c>
      <c r="R36" s="35">
        <v>1</v>
      </c>
      <c r="Y36" s="35" t="s">
        <v>744</v>
      </c>
      <c r="Z36" s="35" t="s">
        <v>745</v>
      </c>
      <c r="AA36" s="35" t="s">
        <v>746</v>
      </c>
      <c r="AD36" s="36">
        <v>39871</v>
      </c>
      <c r="AF36" s="35" t="s">
        <v>561</v>
      </c>
      <c r="AJ36" s="35" t="s">
        <v>747</v>
      </c>
      <c r="AK36" s="35" t="s">
        <v>748</v>
      </c>
      <c r="AO36" s="35" t="s">
        <v>749</v>
      </c>
      <c r="AP36" s="35" t="s">
        <v>750</v>
      </c>
      <c r="AQ36" s="35" t="s">
        <v>750</v>
      </c>
      <c r="AS36" s="35">
        <v>0</v>
      </c>
      <c r="AT36" s="35">
        <v>270348</v>
      </c>
      <c r="AU36" s="35" t="s">
        <v>1293</v>
      </c>
      <c r="AV36" s="35" t="s">
        <v>563</v>
      </c>
      <c r="AW36" s="35" t="s">
        <v>564</v>
      </c>
      <c r="AX36" s="35" t="s">
        <v>565</v>
      </c>
      <c r="AY36" s="35" t="s">
        <v>566</v>
      </c>
      <c r="AZ36" s="35" t="s">
        <v>567</v>
      </c>
      <c r="BA36" s="35" t="s">
        <v>568</v>
      </c>
    </row>
    <row r="37" spans="1:53" s="35" customFormat="1" ht="14.25">
      <c r="A37" s="35">
        <v>36</v>
      </c>
      <c r="B37" s="35">
        <v>1</v>
      </c>
      <c r="C37" s="35">
        <v>1</v>
      </c>
      <c r="D37" s="35">
        <v>0</v>
      </c>
      <c r="E37" s="35">
        <v>0</v>
      </c>
      <c r="G37" s="35" t="s">
        <v>559</v>
      </c>
      <c r="H37" s="35" t="s">
        <v>559</v>
      </c>
      <c r="I37" s="35" t="s">
        <v>751</v>
      </c>
      <c r="J37" s="35">
        <v>60393</v>
      </c>
      <c r="K37" s="35" t="s">
        <v>752</v>
      </c>
      <c r="L37" s="35" t="s">
        <v>753</v>
      </c>
      <c r="M37" s="35" t="s">
        <v>754</v>
      </c>
      <c r="R37" s="35">
        <v>1</v>
      </c>
      <c r="Y37" s="35" t="s">
        <v>755</v>
      </c>
      <c r="Z37" s="35" t="s">
        <v>756</v>
      </c>
      <c r="AA37" s="35" t="s">
        <v>757</v>
      </c>
      <c r="AB37" s="35" t="s">
        <v>758</v>
      </c>
      <c r="AC37" s="35" t="s">
        <v>759</v>
      </c>
      <c r="AD37" s="35" t="s">
        <v>760</v>
      </c>
      <c r="AE37" s="35" t="s">
        <v>761</v>
      </c>
      <c r="AF37" s="35" t="s">
        <v>561</v>
      </c>
      <c r="AH37" s="35" t="s">
        <v>647</v>
      </c>
      <c r="AI37" s="35">
        <v>0</v>
      </c>
      <c r="AJ37" s="35" t="s">
        <v>762</v>
      </c>
      <c r="AK37" s="35" t="s">
        <v>763</v>
      </c>
      <c r="AL37" s="35" t="s">
        <v>764</v>
      </c>
      <c r="AM37" s="35" t="s">
        <v>765</v>
      </c>
      <c r="AN37" s="35" t="s">
        <v>766</v>
      </c>
      <c r="AO37" s="35" t="s">
        <v>761</v>
      </c>
      <c r="AP37" s="35" t="s">
        <v>767</v>
      </c>
      <c r="AQ37" s="35" t="s">
        <v>767</v>
      </c>
      <c r="AS37" s="35">
        <v>0</v>
      </c>
      <c r="AT37" s="35">
        <v>270348</v>
      </c>
      <c r="AU37" s="35" t="s">
        <v>1293</v>
      </c>
      <c r="AV37" s="35" t="s">
        <v>563</v>
      </c>
      <c r="AW37" s="35" t="s">
        <v>564</v>
      </c>
      <c r="AX37" s="35" t="s">
        <v>565</v>
      </c>
      <c r="AY37" s="35" t="s">
        <v>566</v>
      </c>
      <c r="AZ37" s="35" t="s">
        <v>567</v>
      </c>
      <c r="BA37" s="35" t="s">
        <v>568</v>
      </c>
    </row>
    <row r="38" spans="1:53" s="35" customFormat="1" ht="14.25">
      <c r="A38" s="35">
        <v>37</v>
      </c>
      <c r="B38" s="35">
        <v>1</v>
      </c>
      <c r="C38" s="35">
        <v>1</v>
      </c>
      <c r="D38" s="35">
        <v>0</v>
      </c>
      <c r="E38" s="35">
        <v>0</v>
      </c>
      <c r="G38" s="35" t="s">
        <v>559</v>
      </c>
      <c r="H38" s="35" t="s">
        <v>559</v>
      </c>
      <c r="I38" s="35" t="s">
        <v>768</v>
      </c>
      <c r="J38" s="35">
        <v>723144</v>
      </c>
      <c r="K38" s="35" t="s">
        <v>769</v>
      </c>
      <c r="L38" s="35" t="s">
        <v>770</v>
      </c>
      <c r="M38" s="35" t="s">
        <v>771</v>
      </c>
      <c r="R38" s="35">
        <v>1</v>
      </c>
      <c r="Y38" s="35" t="s">
        <v>772</v>
      </c>
      <c r="Z38" s="35" t="s">
        <v>592</v>
      </c>
      <c r="AA38" s="35" t="s">
        <v>773</v>
      </c>
      <c r="AD38" s="36">
        <v>39951</v>
      </c>
      <c r="AF38" s="35" t="s">
        <v>561</v>
      </c>
      <c r="AJ38" s="35" t="s">
        <v>774</v>
      </c>
      <c r="AK38" s="35" t="s">
        <v>775</v>
      </c>
      <c r="AO38" s="35" t="s">
        <v>580</v>
      </c>
      <c r="AP38" s="35" t="s">
        <v>776</v>
      </c>
      <c r="AQ38" s="35" t="s">
        <v>776</v>
      </c>
      <c r="AS38" s="35">
        <v>0</v>
      </c>
      <c r="AT38" s="35">
        <v>270348</v>
      </c>
      <c r="AU38" s="35" t="s">
        <v>1293</v>
      </c>
      <c r="AV38" s="35" t="s">
        <v>563</v>
      </c>
      <c r="AW38" s="35" t="s">
        <v>564</v>
      </c>
      <c r="AX38" s="35" t="s">
        <v>565</v>
      </c>
      <c r="AY38" s="35" t="s">
        <v>566</v>
      </c>
      <c r="AZ38" s="35" t="s">
        <v>567</v>
      </c>
      <c r="BA38" s="35" t="s">
        <v>568</v>
      </c>
    </row>
    <row r="39" spans="1:53" s="35" customFormat="1" ht="14.25">
      <c r="A39" s="35">
        <v>38</v>
      </c>
      <c r="B39" s="35">
        <v>1</v>
      </c>
      <c r="C39" s="35">
        <v>1</v>
      </c>
      <c r="D39" s="35">
        <v>0</v>
      </c>
      <c r="E39" s="35">
        <v>0</v>
      </c>
      <c r="G39" s="35" t="s">
        <v>559</v>
      </c>
      <c r="H39" s="35" t="s">
        <v>559</v>
      </c>
      <c r="I39" s="35" t="s">
        <v>957</v>
      </c>
      <c r="J39" s="35">
        <v>699416</v>
      </c>
      <c r="R39" s="35">
        <v>1</v>
      </c>
      <c r="Y39" s="35" t="s">
        <v>958</v>
      </c>
      <c r="Z39" s="35" t="s">
        <v>574</v>
      </c>
      <c r="AA39" s="35" t="s">
        <v>959</v>
      </c>
      <c r="AD39" s="36">
        <v>39798</v>
      </c>
      <c r="AF39" s="35" t="s">
        <v>561</v>
      </c>
      <c r="AJ39" s="35" t="s">
        <v>960</v>
      </c>
      <c r="AK39" s="35" t="s">
        <v>961</v>
      </c>
      <c r="AO39" s="35" t="s">
        <v>898</v>
      </c>
      <c r="AP39" s="35" t="s">
        <v>962</v>
      </c>
      <c r="AQ39" s="35" t="s">
        <v>962</v>
      </c>
      <c r="AS39" s="35">
        <v>0</v>
      </c>
      <c r="AT39" s="35">
        <v>288838</v>
      </c>
      <c r="AU39" s="35" t="s">
        <v>1294</v>
      </c>
      <c r="AV39" s="35" t="s">
        <v>956</v>
      </c>
      <c r="AW39" s="35" t="s">
        <v>778</v>
      </c>
      <c r="AX39" s="35" t="s">
        <v>565</v>
      </c>
      <c r="AY39" s="35" t="s">
        <v>566</v>
      </c>
      <c r="AZ39" s="35" t="s">
        <v>567</v>
      </c>
      <c r="BA39" s="35" t="s">
        <v>779</v>
      </c>
    </row>
    <row r="40" spans="1:53" s="35" customFormat="1" ht="14.25">
      <c r="A40" s="35">
        <v>39</v>
      </c>
      <c r="B40" s="35">
        <v>1</v>
      </c>
      <c r="C40" s="35">
        <v>1</v>
      </c>
      <c r="D40" s="35">
        <v>0</v>
      </c>
      <c r="E40" s="35">
        <v>0</v>
      </c>
      <c r="G40" s="35" t="s">
        <v>559</v>
      </c>
      <c r="H40" s="35" t="s">
        <v>559</v>
      </c>
      <c r="I40" s="35" t="s">
        <v>963</v>
      </c>
      <c r="J40" s="35">
        <v>756385</v>
      </c>
      <c r="R40" s="35">
        <v>1</v>
      </c>
      <c r="Y40" s="35" t="s">
        <v>964</v>
      </c>
      <c r="Z40" s="35" t="s">
        <v>582</v>
      </c>
      <c r="AA40" s="35" t="s">
        <v>965</v>
      </c>
      <c r="AD40" s="36">
        <v>39847</v>
      </c>
      <c r="AF40" s="35" t="s">
        <v>561</v>
      </c>
      <c r="AG40" s="35" t="s">
        <v>561</v>
      </c>
      <c r="AJ40" s="35" t="s">
        <v>966</v>
      </c>
      <c r="AK40" s="35" t="s">
        <v>967</v>
      </c>
      <c r="AO40" s="35" t="s">
        <v>968</v>
      </c>
      <c r="AP40" s="35" t="s">
        <v>969</v>
      </c>
      <c r="AS40" s="35">
        <v>0</v>
      </c>
      <c r="AT40" s="35">
        <v>288838</v>
      </c>
      <c r="AU40" s="35" t="s">
        <v>1294</v>
      </c>
      <c r="AV40" s="35" t="s">
        <v>956</v>
      </c>
      <c r="AW40" s="35" t="s">
        <v>778</v>
      </c>
      <c r="AX40" s="35" t="s">
        <v>565</v>
      </c>
      <c r="AY40" s="35" t="s">
        <v>566</v>
      </c>
      <c r="AZ40" s="35" t="s">
        <v>567</v>
      </c>
      <c r="BA40" s="35" t="s">
        <v>779</v>
      </c>
    </row>
    <row r="41" spans="1:53" s="35" customFormat="1" ht="14.25">
      <c r="A41" s="35">
        <v>40</v>
      </c>
      <c r="B41" s="35">
        <v>1</v>
      </c>
      <c r="C41" s="35">
        <v>1</v>
      </c>
      <c r="D41" s="35">
        <v>0</v>
      </c>
      <c r="E41" s="35">
        <v>0</v>
      </c>
      <c r="G41" s="35" t="s">
        <v>559</v>
      </c>
      <c r="H41" s="35" t="s">
        <v>559</v>
      </c>
      <c r="I41" s="35" t="s">
        <v>970</v>
      </c>
      <c r="J41" s="35">
        <v>245155</v>
      </c>
      <c r="R41" s="35">
        <v>1</v>
      </c>
      <c r="Y41" s="35" t="s">
        <v>971</v>
      </c>
      <c r="Z41" s="35" t="s">
        <v>972</v>
      </c>
      <c r="AA41" s="35" t="s">
        <v>973</v>
      </c>
      <c r="AB41" s="35" t="s">
        <v>974</v>
      </c>
      <c r="AC41" s="35" t="s">
        <v>975</v>
      </c>
      <c r="AD41" s="35" t="s">
        <v>976</v>
      </c>
      <c r="AE41" s="35" t="s">
        <v>560</v>
      </c>
      <c r="AF41" s="35" t="s">
        <v>561</v>
      </c>
      <c r="AH41" s="35" t="s">
        <v>647</v>
      </c>
      <c r="AI41" s="35">
        <v>0</v>
      </c>
      <c r="AJ41" s="35" t="s">
        <v>977</v>
      </c>
      <c r="AK41" s="35" t="s">
        <v>978</v>
      </c>
      <c r="AL41" s="35" t="s">
        <v>979</v>
      </c>
      <c r="AM41" s="35" t="s">
        <v>582</v>
      </c>
      <c r="AN41" s="35" t="s">
        <v>980</v>
      </c>
      <c r="AO41" s="35" t="s">
        <v>560</v>
      </c>
      <c r="AP41" s="35" t="s">
        <v>981</v>
      </c>
      <c r="AQ41" s="35" t="s">
        <v>981</v>
      </c>
      <c r="AS41" s="35">
        <v>0</v>
      </c>
      <c r="AT41" s="35">
        <v>288838</v>
      </c>
      <c r="AU41" s="35" t="s">
        <v>1294</v>
      </c>
      <c r="AV41" s="35" t="s">
        <v>956</v>
      </c>
      <c r="AW41" s="35" t="s">
        <v>778</v>
      </c>
      <c r="AX41" s="35" t="s">
        <v>565</v>
      </c>
      <c r="AY41" s="35" t="s">
        <v>566</v>
      </c>
      <c r="AZ41" s="35" t="s">
        <v>567</v>
      </c>
      <c r="BA41" s="35" t="s">
        <v>779</v>
      </c>
    </row>
    <row r="42" spans="1:53" s="35" customFormat="1" ht="14.25">
      <c r="A42" s="35">
        <v>41</v>
      </c>
      <c r="B42" s="35">
        <v>1</v>
      </c>
      <c r="C42" s="35">
        <v>1</v>
      </c>
      <c r="D42" s="35">
        <v>0</v>
      </c>
      <c r="E42" s="35">
        <v>0</v>
      </c>
      <c r="G42" s="35" t="s">
        <v>559</v>
      </c>
      <c r="H42" s="35" t="s">
        <v>559</v>
      </c>
      <c r="I42" s="35" t="s">
        <v>982</v>
      </c>
      <c r="J42" s="35">
        <v>386519</v>
      </c>
      <c r="K42" s="35" t="s">
        <v>983</v>
      </c>
      <c r="L42" s="35" t="s">
        <v>984</v>
      </c>
      <c r="M42" s="35" t="s">
        <v>985</v>
      </c>
      <c r="R42" s="35">
        <v>1</v>
      </c>
      <c r="Y42" s="35" t="s">
        <v>986</v>
      </c>
      <c r="Z42" s="35" t="s">
        <v>987</v>
      </c>
      <c r="AA42" s="35" t="s">
        <v>988</v>
      </c>
      <c r="AD42" s="36">
        <v>39999</v>
      </c>
      <c r="AF42" s="35" t="s">
        <v>561</v>
      </c>
      <c r="AJ42" s="35" t="s">
        <v>989</v>
      </c>
      <c r="AK42" s="35" t="s">
        <v>990</v>
      </c>
      <c r="AO42" s="35" t="s">
        <v>923</v>
      </c>
      <c r="AP42" s="35" t="s">
        <v>991</v>
      </c>
      <c r="AQ42" s="35" t="s">
        <v>991</v>
      </c>
      <c r="AS42" s="35">
        <v>0</v>
      </c>
      <c r="AT42" s="35">
        <v>288838</v>
      </c>
      <c r="AU42" s="35" t="s">
        <v>1294</v>
      </c>
      <c r="AV42" s="35" t="s">
        <v>956</v>
      </c>
      <c r="AW42" s="35" t="s">
        <v>778</v>
      </c>
      <c r="AX42" s="35" t="s">
        <v>565</v>
      </c>
      <c r="AY42" s="35" t="s">
        <v>566</v>
      </c>
      <c r="AZ42" s="35" t="s">
        <v>567</v>
      </c>
      <c r="BA42" s="35" t="s">
        <v>779</v>
      </c>
    </row>
    <row r="43" spans="1:53" s="35" customFormat="1" ht="14.25">
      <c r="A43" s="35">
        <v>42</v>
      </c>
      <c r="B43" s="35">
        <v>1</v>
      </c>
      <c r="C43" s="35">
        <v>1</v>
      </c>
      <c r="D43" s="35">
        <v>0</v>
      </c>
      <c r="E43" s="35">
        <v>0</v>
      </c>
      <c r="G43" s="35" t="s">
        <v>559</v>
      </c>
      <c r="H43" s="35" t="s">
        <v>559</v>
      </c>
      <c r="I43" s="35" t="s">
        <v>992</v>
      </c>
      <c r="J43" s="35">
        <v>652070</v>
      </c>
      <c r="R43" s="35">
        <v>1</v>
      </c>
      <c r="Y43" s="35" t="s">
        <v>993</v>
      </c>
      <c r="Z43" s="35" t="s">
        <v>954</v>
      </c>
      <c r="AA43" s="35" t="s">
        <v>699</v>
      </c>
      <c r="AD43" s="36">
        <v>39856</v>
      </c>
      <c r="AF43" s="35" t="s">
        <v>561</v>
      </c>
      <c r="AG43" s="35" t="s">
        <v>561</v>
      </c>
      <c r="AJ43" s="35" t="s">
        <v>994</v>
      </c>
      <c r="AK43" s="35" t="s">
        <v>955</v>
      </c>
      <c r="AO43" s="35" t="s">
        <v>995</v>
      </c>
      <c r="AP43" s="35" t="s">
        <v>996</v>
      </c>
      <c r="AS43" s="35">
        <v>0</v>
      </c>
      <c r="AT43" s="35">
        <v>288838</v>
      </c>
      <c r="AU43" s="35" t="s">
        <v>1294</v>
      </c>
      <c r="AV43" s="35" t="s">
        <v>956</v>
      </c>
      <c r="AW43" s="35" t="s">
        <v>778</v>
      </c>
      <c r="AX43" s="35" t="s">
        <v>565</v>
      </c>
      <c r="AY43" s="35" t="s">
        <v>566</v>
      </c>
      <c r="AZ43" s="35" t="s">
        <v>567</v>
      </c>
      <c r="BA43" s="35" t="s">
        <v>779</v>
      </c>
    </row>
    <row r="44" spans="1:53" s="35" customFormat="1" ht="14.25">
      <c r="A44" s="35">
        <v>43</v>
      </c>
      <c r="B44" s="35">
        <v>1</v>
      </c>
      <c r="C44" s="35">
        <v>1</v>
      </c>
      <c r="D44" s="35">
        <v>0</v>
      </c>
      <c r="E44" s="35">
        <v>0</v>
      </c>
      <c r="G44" s="35" t="s">
        <v>559</v>
      </c>
      <c r="H44" s="35" t="s">
        <v>559</v>
      </c>
      <c r="I44" s="35" t="s">
        <v>780</v>
      </c>
      <c r="J44" s="35">
        <v>474400</v>
      </c>
      <c r="K44" s="35" t="s">
        <v>781</v>
      </c>
      <c r="L44" s="35" t="s">
        <v>782</v>
      </c>
      <c r="M44" s="35" t="s">
        <v>783</v>
      </c>
      <c r="R44" s="35">
        <v>1</v>
      </c>
      <c r="Y44" s="35" t="s">
        <v>784</v>
      </c>
      <c r="Z44" s="35" t="s">
        <v>785</v>
      </c>
      <c r="AA44" s="35" t="s">
        <v>786</v>
      </c>
      <c r="AD44" s="36">
        <v>39356</v>
      </c>
      <c r="AF44" s="35" t="s">
        <v>561</v>
      </c>
      <c r="AJ44" s="35" t="s">
        <v>787</v>
      </c>
      <c r="AK44" s="35" t="s">
        <v>788</v>
      </c>
      <c r="AO44" s="35" t="s">
        <v>580</v>
      </c>
      <c r="AP44" s="35" t="s">
        <v>789</v>
      </c>
      <c r="AQ44" s="35" t="s">
        <v>789</v>
      </c>
      <c r="AS44" s="35">
        <v>0</v>
      </c>
      <c r="AT44" s="35">
        <v>270419</v>
      </c>
      <c r="AU44" s="35" t="s">
        <v>1295</v>
      </c>
      <c r="AV44" s="35" t="s">
        <v>777</v>
      </c>
      <c r="AW44" s="35" t="s">
        <v>778</v>
      </c>
      <c r="AX44" s="35" t="s">
        <v>565</v>
      </c>
      <c r="AY44" s="35" t="s">
        <v>566</v>
      </c>
      <c r="AZ44" s="35" t="s">
        <v>567</v>
      </c>
      <c r="BA44" s="35" t="s">
        <v>779</v>
      </c>
    </row>
    <row r="45" spans="1:53" s="35" customFormat="1" ht="14.25">
      <c r="A45" s="35">
        <v>44</v>
      </c>
      <c r="B45" s="35">
        <v>1</v>
      </c>
      <c r="C45" s="35">
        <v>1</v>
      </c>
      <c r="D45" s="35">
        <v>0</v>
      </c>
      <c r="E45" s="35">
        <v>0</v>
      </c>
      <c r="G45" s="35" t="s">
        <v>559</v>
      </c>
      <c r="H45" s="35" t="s">
        <v>559</v>
      </c>
      <c r="I45" s="35" t="s">
        <v>790</v>
      </c>
      <c r="J45" s="35">
        <v>741693</v>
      </c>
      <c r="K45" s="35" t="s">
        <v>791</v>
      </c>
      <c r="L45" s="35" t="s">
        <v>792</v>
      </c>
      <c r="R45" s="35">
        <v>1</v>
      </c>
      <c r="Y45" s="35" t="s">
        <v>793</v>
      </c>
      <c r="Z45" s="35" t="s">
        <v>794</v>
      </c>
      <c r="AA45" s="35" t="s">
        <v>795</v>
      </c>
      <c r="AD45" s="36">
        <v>39725</v>
      </c>
      <c r="AF45" s="35" t="s">
        <v>796</v>
      </c>
      <c r="AJ45" s="35" t="s">
        <v>797</v>
      </c>
      <c r="AK45" s="35" t="s">
        <v>798</v>
      </c>
      <c r="AO45" s="35" t="s">
        <v>598</v>
      </c>
      <c r="AP45" s="35" t="s">
        <v>799</v>
      </c>
      <c r="AQ45" s="35" t="s">
        <v>799</v>
      </c>
      <c r="AS45" s="35">
        <v>0</v>
      </c>
      <c r="AT45" s="35">
        <v>270419</v>
      </c>
      <c r="AU45" s="35" t="s">
        <v>1295</v>
      </c>
      <c r="AV45" s="35" t="s">
        <v>777</v>
      </c>
      <c r="AW45" s="35" t="s">
        <v>778</v>
      </c>
      <c r="AX45" s="35" t="s">
        <v>565</v>
      </c>
      <c r="AY45" s="35" t="s">
        <v>566</v>
      </c>
      <c r="AZ45" s="35" t="s">
        <v>567</v>
      </c>
      <c r="BA45" s="35" t="s">
        <v>779</v>
      </c>
    </row>
    <row r="46" spans="1:53" s="35" customFormat="1" ht="14.25">
      <c r="A46" s="35">
        <v>45</v>
      </c>
      <c r="B46" s="35">
        <v>1</v>
      </c>
      <c r="C46" s="35">
        <v>1</v>
      </c>
      <c r="D46" s="35">
        <v>0</v>
      </c>
      <c r="E46" s="35">
        <v>0</v>
      </c>
      <c r="G46" s="35" t="s">
        <v>559</v>
      </c>
      <c r="H46" s="35" t="s">
        <v>559</v>
      </c>
      <c r="I46" s="35" t="s">
        <v>800</v>
      </c>
      <c r="J46" s="35">
        <v>586688</v>
      </c>
      <c r="K46" s="35" t="s">
        <v>801</v>
      </c>
      <c r="L46" s="35" t="s">
        <v>802</v>
      </c>
      <c r="M46" s="35" t="s">
        <v>803</v>
      </c>
      <c r="R46" s="35">
        <v>1</v>
      </c>
      <c r="Y46" s="35" t="s">
        <v>804</v>
      </c>
      <c r="Z46" s="35" t="s">
        <v>805</v>
      </c>
      <c r="AA46" s="35" t="s">
        <v>806</v>
      </c>
      <c r="AB46" s="35" t="s">
        <v>807</v>
      </c>
      <c r="AC46" s="35" t="s">
        <v>808</v>
      </c>
      <c r="AD46" s="35" t="s">
        <v>809</v>
      </c>
      <c r="AE46" s="35" t="s">
        <v>560</v>
      </c>
      <c r="AF46" s="35" t="s">
        <v>561</v>
      </c>
      <c r="AH46" s="35" t="s">
        <v>562</v>
      </c>
      <c r="AI46" s="35">
        <v>0</v>
      </c>
      <c r="AJ46" s="35" t="s">
        <v>810</v>
      </c>
      <c r="AK46" s="35" t="s">
        <v>811</v>
      </c>
      <c r="AL46" s="35" t="s">
        <v>812</v>
      </c>
      <c r="AM46" s="35" t="s">
        <v>813</v>
      </c>
      <c r="AN46" s="35" t="s">
        <v>814</v>
      </c>
      <c r="AO46" s="35" t="s">
        <v>560</v>
      </c>
      <c r="AP46" s="35" t="s">
        <v>815</v>
      </c>
      <c r="AQ46" s="35" t="s">
        <v>815</v>
      </c>
      <c r="AS46" s="35">
        <v>0</v>
      </c>
      <c r="AT46" s="35">
        <v>270419</v>
      </c>
      <c r="AU46" s="35" t="s">
        <v>1295</v>
      </c>
      <c r="AV46" s="35" t="s">
        <v>777</v>
      </c>
      <c r="AW46" s="35" t="s">
        <v>778</v>
      </c>
      <c r="AX46" s="35" t="s">
        <v>565</v>
      </c>
      <c r="AY46" s="35" t="s">
        <v>566</v>
      </c>
      <c r="AZ46" s="35" t="s">
        <v>567</v>
      </c>
      <c r="BA46" s="35" t="s">
        <v>779</v>
      </c>
    </row>
    <row r="47" spans="1:53" s="35" customFormat="1" ht="14.25">
      <c r="A47" s="35">
        <v>46</v>
      </c>
      <c r="B47" s="35">
        <v>1</v>
      </c>
      <c r="C47" s="35">
        <v>1</v>
      </c>
      <c r="D47" s="35">
        <v>0</v>
      </c>
      <c r="E47" s="35">
        <v>0</v>
      </c>
      <c r="G47" s="35" t="s">
        <v>559</v>
      </c>
      <c r="H47" s="35" t="s">
        <v>559</v>
      </c>
      <c r="I47" s="35" t="s">
        <v>816</v>
      </c>
      <c r="J47" s="35">
        <v>319920</v>
      </c>
      <c r="K47" s="35" t="s">
        <v>817</v>
      </c>
      <c r="L47" s="35" t="s">
        <v>818</v>
      </c>
      <c r="M47" s="35" t="s">
        <v>819</v>
      </c>
      <c r="R47" s="35">
        <v>1</v>
      </c>
      <c r="Y47" s="35" t="s">
        <v>820</v>
      </c>
      <c r="Z47" s="35" t="s">
        <v>821</v>
      </c>
      <c r="AA47" s="35" t="s">
        <v>822</v>
      </c>
      <c r="AD47" s="36">
        <v>39699</v>
      </c>
      <c r="AF47" s="35" t="s">
        <v>561</v>
      </c>
      <c r="AJ47" s="35" t="s">
        <v>823</v>
      </c>
      <c r="AK47" s="35" t="s">
        <v>824</v>
      </c>
      <c r="AO47" s="35" t="s">
        <v>825</v>
      </c>
      <c r="AP47" s="35" t="s">
        <v>826</v>
      </c>
      <c r="AQ47" s="35" t="s">
        <v>826</v>
      </c>
      <c r="AS47" s="35">
        <v>0</v>
      </c>
      <c r="AT47" s="35">
        <v>270419</v>
      </c>
      <c r="AU47" s="35" t="s">
        <v>1295</v>
      </c>
      <c r="AV47" s="35" t="s">
        <v>777</v>
      </c>
      <c r="AW47" s="35" t="s">
        <v>778</v>
      </c>
      <c r="AX47" s="35" t="s">
        <v>565</v>
      </c>
      <c r="AY47" s="35" t="s">
        <v>566</v>
      </c>
      <c r="AZ47" s="35" t="s">
        <v>567</v>
      </c>
      <c r="BA47" s="35" t="s">
        <v>779</v>
      </c>
    </row>
    <row r="48" spans="1:53" s="35" customFormat="1" ht="14.25">
      <c r="A48" s="35">
        <v>47</v>
      </c>
      <c r="B48" s="35">
        <v>1</v>
      </c>
      <c r="C48" s="35">
        <v>1</v>
      </c>
      <c r="D48" s="35">
        <v>0</v>
      </c>
      <c r="E48" s="35">
        <v>0</v>
      </c>
      <c r="G48" s="35" t="s">
        <v>559</v>
      </c>
      <c r="H48" s="35" t="s">
        <v>559</v>
      </c>
      <c r="I48" s="35" t="s">
        <v>828</v>
      </c>
      <c r="J48" s="35">
        <v>63290</v>
      </c>
      <c r="K48" s="35" t="s">
        <v>829</v>
      </c>
      <c r="L48" s="35" t="s">
        <v>830</v>
      </c>
      <c r="M48" s="35" t="s">
        <v>831</v>
      </c>
      <c r="R48" s="35">
        <v>1</v>
      </c>
      <c r="Y48" s="35" t="s">
        <v>832</v>
      </c>
      <c r="Z48" s="35" t="s">
        <v>833</v>
      </c>
      <c r="AA48" s="35" t="s">
        <v>834</v>
      </c>
      <c r="AB48" s="35" t="s">
        <v>835</v>
      </c>
      <c r="AC48" s="35" t="s">
        <v>836</v>
      </c>
      <c r="AD48" s="35" t="s">
        <v>837</v>
      </c>
      <c r="AE48" s="35" t="s">
        <v>838</v>
      </c>
      <c r="AF48" s="35" t="s">
        <v>839</v>
      </c>
      <c r="AG48" s="35" t="s">
        <v>561</v>
      </c>
      <c r="AH48" s="35" t="s">
        <v>562</v>
      </c>
      <c r="AI48" s="35">
        <v>0</v>
      </c>
      <c r="AJ48" s="35" t="s">
        <v>840</v>
      </c>
      <c r="AK48" s="35" t="s">
        <v>841</v>
      </c>
      <c r="AL48" s="35" t="s">
        <v>842</v>
      </c>
      <c r="AM48" s="35" t="s">
        <v>843</v>
      </c>
      <c r="AN48" s="35" t="s">
        <v>844</v>
      </c>
      <c r="AO48" s="35" t="s">
        <v>845</v>
      </c>
      <c r="AP48" s="35" t="s">
        <v>846</v>
      </c>
      <c r="AQ48" s="35" t="s">
        <v>846</v>
      </c>
      <c r="AS48" s="35">
        <v>0</v>
      </c>
      <c r="AT48" s="35">
        <v>270419</v>
      </c>
      <c r="AU48" s="35" t="s">
        <v>1295</v>
      </c>
      <c r="AV48" s="35" t="s">
        <v>777</v>
      </c>
      <c r="AW48" s="35" t="s">
        <v>778</v>
      </c>
      <c r="AX48" s="35" t="s">
        <v>565</v>
      </c>
      <c r="AY48" s="35" t="s">
        <v>566</v>
      </c>
      <c r="AZ48" s="35" t="s">
        <v>567</v>
      </c>
      <c r="BA48" s="35" t="s">
        <v>779</v>
      </c>
    </row>
    <row r="49" spans="1:53" s="35" customFormat="1" ht="14.25">
      <c r="A49" s="35">
        <v>48</v>
      </c>
      <c r="B49" s="35">
        <v>1</v>
      </c>
      <c r="C49" s="35">
        <v>1</v>
      </c>
      <c r="D49" s="35">
        <v>0</v>
      </c>
      <c r="E49" s="35">
        <v>0</v>
      </c>
      <c r="G49" s="35" t="s">
        <v>559</v>
      </c>
      <c r="H49" s="35" t="s">
        <v>559</v>
      </c>
      <c r="I49" s="35" t="s">
        <v>847</v>
      </c>
      <c r="J49" s="35">
        <v>305028</v>
      </c>
      <c r="K49" s="35" t="s">
        <v>848</v>
      </c>
      <c r="M49" s="35" t="s">
        <v>849</v>
      </c>
      <c r="R49" s="35">
        <v>1</v>
      </c>
      <c r="Y49" s="35" t="s">
        <v>850</v>
      </c>
      <c r="Z49" s="35" t="s">
        <v>851</v>
      </c>
      <c r="AA49" s="35" t="s">
        <v>852</v>
      </c>
      <c r="AB49" s="35" t="s">
        <v>853</v>
      </c>
      <c r="AC49" s="35" t="s">
        <v>854</v>
      </c>
      <c r="AD49" s="35" t="s">
        <v>855</v>
      </c>
      <c r="AE49" s="35" t="s">
        <v>599</v>
      </c>
      <c r="AF49" s="35" t="s">
        <v>561</v>
      </c>
      <c r="AH49" s="35" t="s">
        <v>562</v>
      </c>
      <c r="AI49" s="35">
        <v>0</v>
      </c>
      <c r="AJ49" s="35" t="s">
        <v>856</v>
      </c>
      <c r="AK49" s="35" t="s">
        <v>857</v>
      </c>
      <c r="AL49" s="35" t="s">
        <v>858</v>
      </c>
      <c r="AM49" s="35" t="s">
        <v>859</v>
      </c>
      <c r="AN49" s="35" t="s">
        <v>860</v>
      </c>
      <c r="AO49" s="35" t="s">
        <v>861</v>
      </c>
      <c r="AP49" s="35" t="s">
        <v>862</v>
      </c>
      <c r="AQ49" s="35" t="s">
        <v>862</v>
      </c>
      <c r="AS49" s="35">
        <v>0</v>
      </c>
      <c r="AT49" s="35">
        <v>270419</v>
      </c>
      <c r="AU49" s="35" t="s">
        <v>1295</v>
      </c>
      <c r="AV49" s="35" t="s">
        <v>777</v>
      </c>
      <c r="AW49" s="35" t="s">
        <v>778</v>
      </c>
      <c r="AX49" s="35" t="s">
        <v>565</v>
      </c>
      <c r="AY49" s="35" t="s">
        <v>566</v>
      </c>
      <c r="AZ49" s="35" t="s">
        <v>567</v>
      </c>
      <c r="BA49" s="35" t="s">
        <v>779</v>
      </c>
    </row>
    <row r="50" spans="1:53" s="35" customFormat="1" ht="14.25">
      <c r="A50" s="35">
        <v>49</v>
      </c>
      <c r="B50" s="35">
        <v>1</v>
      </c>
      <c r="C50" s="35">
        <v>1</v>
      </c>
      <c r="D50" s="35">
        <v>0</v>
      </c>
      <c r="E50" s="35">
        <v>0</v>
      </c>
      <c r="G50" s="35" t="s">
        <v>559</v>
      </c>
      <c r="H50" s="35" t="s">
        <v>559</v>
      </c>
      <c r="I50" s="35" t="s">
        <v>863</v>
      </c>
      <c r="J50" s="35">
        <v>690643</v>
      </c>
      <c r="R50" s="35">
        <v>1</v>
      </c>
      <c r="Y50" s="35" t="s">
        <v>864</v>
      </c>
      <c r="Z50" s="35" t="s">
        <v>865</v>
      </c>
      <c r="AA50" s="35" t="s">
        <v>866</v>
      </c>
      <c r="AD50" s="36">
        <v>40126</v>
      </c>
      <c r="AF50" s="35" t="s">
        <v>561</v>
      </c>
      <c r="AG50" s="35" t="s">
        <v>561</v>
      </c>
      <c r="AJ50" s="35" t="s">
        <v>867</v>
      </c>
      <c r="AK50" s="35" t="s">
        <v>868</v>
      </c>
      <c r="AO50" s="35" t="s">
        <v>869</v>
      </c>
      <c r="AP50" s="35" t="s">
        <v>870</v>
      </c>
      <c r="AS50" s="35">
        <v>0</v>
      </c>
      <c r="AT50" s="35">
        <v>270419</v>
      </c>
      <c r="AU50" s="35" t="s">
        <v>1295</v>
      </c>
      <c r="AV50" s="35" t="s">
        <v>777</v>
      </c>
      <c r="AW50" s="35" t="s">
        <v>778</v>
      </c>
      <c r="AX50" s="35" t="s">
        <v>565</v>
      </c>
      <c r="AY50" s="35" t="s">
        <v>566</v>
      </c>
      <c r="AZ50" s="35" t="s">
        <v>567</v>
      </c>
      <c r="BA50" s="35" t="s">
        <v>779</v>
      </c>
    </row>
    <row r="51" spans="1:53" s="35" customFormat="1" ht="14.25">
      <c r="A51" s="35">
        <v>50</v>
      </c>
      <c r="B51" s="35">
        <v>1</v>
      </c>
      <c r="C51" s="35">
        <v>1</v>
      </c>
      <c r="D51" s="35">
        <v>0</v>
      </c>
      <c r="E51" s="35">
        <v>0</v>
      </c>
      <c r="G51" s="35" t="s">
        <v>559</v>
      </c>
      <c r="H51" s="35" t="s">
        <v>559</v>
      </c>
      <c r="I51" s="35" t="s">
        <v>871</v>
      </c>
      <c r="J51" s="35">
        <v>623739</v>
      </c>
      <c r="K51" s="35" t="s">
        <v>872</v>
      </c>
      <c r="L51" s="35" t="s">
        <v>873</v>
      </c>
      <c r="R51" s="35">
        <v>1</v>
      </c>
      <c r="Y51" s="35" t="s">
        <v>874</v>
      </c>
      <c r="Z51" s="35" t="s">
        <v>875</v>
      </c>
      <c r="AA51" s="35" t="s">
        <v>600</v>
      </c>
      <c r="AD51" s="36">
        <v>39899</v>
      </c>
      <c r="AF51" s="35" t="s">
        <v>561</v>
      </c>
      <c r="AJ51" s="35" t="s">
        <v>876</v>
      </c>
      <c r="AK51" s="35" t="s">
        <v>877</v>
      </c>
      <c r="AO51" s="35" t="s">
        <v>878</v>
      </c>
      <c r="AP51" s="35" t="s">
        <v>879</v>
      </c>
      <c r="AQ51" s="35" t="s">
        <v>879</v>
      </c>
      <c r="AS51" s="35">
        <v>0</v>
      </c>
      <c r="AT51" s="35">
        <v>270419</v>
      </c>
      <c r="AU51" s="35" t="s">
        <v>1295</v>
      </c>
      <c r="AV51" s="35" t="s">
        <v>777</v>
      </c>
      <c r="AW51" s="35" t="s">
        <v>778</v>
      </c>
      <c r="AX51" s="35" t="s">
        <v>565</v>
      </c>
      <c r="AY51" s="35" t="s">
        <v>566</v>
      </c>
      <c r="AZ51" s="35" t="s">
        <v>567</v>
      </c>
      <c r="BA51" s="35" t="s">
        <v>779</v>
      </c>
    </row>
    <row r="52" spans="1:53" s="35" customFormat="1" ht="14.25">
      <c r="A52" s="35">
        <v>51</v>
      </c>
      <c r="B52" s="35">
        <v>1</v>
      </c>
      <c r="C52" s="35">
        <v>1</v>
      </c>
      <c r="D52" s="35">
        <v>0</v>
      </c>
      <c r="E52" s="35">
        <v>0</v>
      </c>
      <c r="G52" s="35" t="s">
        <v>559</v>
      </c>
      <c r="H52" s="35" t="s">
        <v>559</v>
      </c>
      <c r="I52" s="35" t="s">
        <v>880</v>
      </c>
      <c r="J52" s="35">
        <v>622322</v>
      </c>
      <c r="K52" s="35" t="s">
        <v>881</v>
      </c>
      <c r="L52" s="35" t="s">
        <v>882</v>
      </c>
      <c r="M52" s="35" t="s">
        <v>883</v>
      </c>
      <c r="R52" s="35">
        <v>1</v>
      </c>
      <c r="Y52" s="35" t="s">
        <v>884</v>
      </c>
      <c r="Z52" s="35" t="s">
        <v>729</v>
      </c>
      <c r="AA52" s="35" t="s">
        <v>885</v>
      </c>
      <c r="AD52" s="36">
        <v>39827</v>
      </c>
      <c r="AF52" s="35" t="s">
        <v>561</v>
      </c>
      <c r="AJ52" s="35" t="s">
        <v>886</v>
      </c>
      <c r="AK52" s="35" t="s">
        <v>887</v>
      </c>
      <c r="AO52" s="35" t="s">
        <v>888</v>
      </c>
      <c r="AP52" s="35" t="s">
        <v>889</v>
      </c>
      <c r="AQ52" s="35" t="s">
        <v>889</v>
      </c>
      <c r="AS52" s="35">
        <v>0</v>
      </c>
      <c r="AT52" s="35">
        <v>270419</v>
      </c>
      <c r="AU52" s="35" t="s">
        <v>1295</v>
      </c>
      <c r="AV52" s="35" t="s">
        <v>777</v>
      </c>
      <c r="AW52" s="35" t="s">
        <v>778</v>
      </c>
      <c r="AX52" s="35" t="s">
        <v>565</v>
      </c>
      <c r="AY52" s="35" t="s">
        <v>566</v>
      </c>
      <c r="AZ52" s="35" t="s">
        <v>567</v>
      </c>
      <c r="BA52" s="35" t="s">
        <v>779</v>
      </c>
    </row>
    <row r="53" spans="1:53" s="35" customFormat="1" ht="14.25">
      <c r="A53" s="35">
        <v>52</v>
      </c>
      <c r="B53" s="35">
        <v>1</v>
      </c>
      <c r="C53" s="35">
        <v>1</v>
      </c>
      <c r="D53" s="35">
        <v>0</v>
      </c>
      <c r="E53" s="35">
        <v>0</v>
      </c>
      <c r="G53" s="35" t="s">
        <v>559</v>
      </c>
      <c r="H53" s="35" t="s">
        <v>559</v>
      </c>
      <c r="I53" s="35" t="s">
        <v>890</v>
      </c>
      <c r="J53" s="35">
        <v>367222</v>
      </c>
      <c r="K53" s="35" t="s">
        <v>891</v>
      </c>
      <c r="L53" s="35" t="s">
        <v>892</v>
      </c>
      <c r="M53" s="35" t="s">
        <v>893</v>
      </c>
      <c r="R53" s="35">
        <v>1</v>
      </c>
      <c r="Y53" s="35" t="s">
        <v>894</v>
      </c>
      <c r="Z53" s="35" t="s">
        <v>895</v>
      </c>
      <c r="AA53" s="35" t="s">
        <v>581</v>
      </c>
      <c r="AD53" s="36">
        <v>39865</v>
      </c>
      <c r="AF53" s="35" t="s">
        <v>561</v>
      </c>
      <c r="AJ53" s="35" t="s">
        <v>896</v>
      </c>
      <c r="AK53" s="35" t="s">
        <v>897</v>
      </c>
      <c r="AO53" s="35" t="s">
        <v>898</v>
      </c>
      <c r="AP53" s="35" t="s">
        <v>899</v>
      </c>
      <c r="AQ53" s="35" t="s">
        <v>899</v>
      </c>
      <c r="AS53" s="35">
        <v>0</v>
      </c>
      <c r="AT53" s="35">
        <v>270419</v>
      </c>
      <c r="AU53" s="35" t="s">
        <v>1295</v>
      </c>
      <c r="AV53" s="35" t="s">
        <v>777</v>
      </c>
      <c r="AW53" s="35" t="s">
        <v>778</v>
      </c>
      <c r="AX53" s="35" t="s">
        <v>565</v>
      </c>
      <c r="AY53" s="35" t="s">
        <v>566</v>
      </c>
      <c r="AZ53" s="35" t="s">
        <v>567</v>
      </c>
      <c r="BA53" s="35" t="s">
        <v>779</v>
      </c>
    </row>
    <row r="54" spans="1:53" s="35" customFormat="1" ht="14.25">
      <c r="A54" s="35">
        <v>53</v>
      </c>
      <c r="B54" s="35">
        <v>1</v>
      </c>
      <c r="C54" s="35">
        <v>1</v>
      </c>
      <c r="D54" s="35">
        <v>0</v>
      </c>
      <c r="E54" s="35">
        <v>0</v>
      </c>
      <c r="G54" s="35" t="s">
        <v>559</v>
      </c>
      <c r="H54" s="35" t="s">
        <v>559</v>
      </c>
      <c r="I54" s="35" t="s">
        <v>900</v>
      </c>
      <c r="J54" s="35">
        <v>560296</v>
      </c>
      <c r="K54" s="35" t="s">
        <v>901</v>
      </c>
      <c r="L54" s="35" t="s">
        <v>902</v>
      </c>
      <c r="M54" s="35" t="s">
        <v>903</v>
      </c>
      <c r="R54" s="35">
        <v>1</v>
      </c>
      <c r="Y54" s="35" t="s">
        <v>904</v>
      </c>
      <c r="Z54" s="35" t="s">
        <v>905</v>
      </c>
      <c r="AA54" s="35" t="s">
        <v>906</v>
      </c>
      <c r="AD54" s="36">
        <v>39956</v>
      </c>
      <c r="AF54" s="35" t="s">
        <v>561</v>
      </c>
      <c r="AJ54" s="35" t="s">
        <v>907</v>
      </c>
      <c r="AK54" s="35" t="s">
        <v>908</v>
      </c>
      <c r="AO54" s="35" t="s">
        <v>898</v>
      </c>
      <c r="AP54" s="35" t="s">
        <v>909</v>
      </c>
      <c r="AQ54" s="35" t="s">
        <v>909</v>
      </c>
      <c r="AS54" s="35">
        <v>0</v>
      </c>
      <c r="AT54" s="35">
        <v>270419</v>
      </c>
      <c r="AU54" s="35" t="s">
        <v>1295</v>
      </c>
      <c r="AV54" s="35" t="s">
        <v>777</v>
      </c>
      <c r="AW54" s="35" t="s">
        <v>778</v>
      </c>
      <c r="AX54" s="35" t="s">
        <v>565</v>
      </c>
      <c r="AY54" s="35" t="s">
        <v>566</v>
      </c>
      <c r="AZ54" s="35" t="s">
        <v>567</v>
      </c>
      <c r="BA54" s="35" t="s">
        <v>779</v>
      </c>
    </row>
    <row r="55" spans="1:53" s="35" customFormat="1" ht="14.25">
      <c r="A55" s="35">
        <v>54</v>
      </c>
      <c r="B55" s="35">
        <v>1</v>
      </c>
      <c r="C55" s="35">
        <v>1</v>
      </c>
      <c r="D55" s="35">
        <v>0</v>
      </c>
      <c r="E55" s="35">
        <v>0</v>
      </c>
      <c r="G55" s="35" t="s">
        <v>559</v>
      </c>
      <c r="H55" s="35" t="s">
        <v>559</v>
      </c>
      <c r="I55" s="35" t="s">
        <v>910</v>
      </c>
      <c r="J55" s="35">
        <v>159294</v>
      </c>
      <c r="K55" s="35" t="s">
        <v>911</v>
      </c>
      <c r="L55" s="35" t="s">
        <v>912</v>
      </c>
      <c r="R55" s="35">
        <v>1</v>
      </c>
      <c r="Y55" s="35" t="s">
        <v>913</v>
      </c>
      <c r="Z55" s="35" t="s">
        <v>813</v>
      </c>
      <c r="AA55" s="35" t="s">
        <v>914</v>
      </c>
      <c r="AB55" s="35" t="s">
        <v>915</v>
      </c>
      <c r="AC55" s="35" t="s">
        <v>916</v>
      </c>
      <c r="AD55" s="35" t="s">
        <v>917</v>
      </c>
      <c r="AE55" s="35" t="s">
        <v>560</v>
      </c>
      <c r="AF55" s="35" t="s">
        <v>561</v>
      </c>
      <c r="AH55" s="35" t="s">
        <v>562</v>
      </c>
      <c r="AI55" s="35">
        <v>0</v>
      </c>
      <c r="AJ55" s="35" t="s">
        <v>918</v>
      </c>
      <c r="AK55" s="35" t="s">
        <v>919</v>
      </c>
      <c r="AL55" s="35" t="s">
        <v>920</v>
      </c>
      <c r="AM55" s="35" t="s">
        <v>921</v>
      </c>
      <c r="AN55" s="35" t="s">
        <v>922</v>
      </c>
      <c r="AO55" s="35" t="s">
        <v>923</v>
      </c>
      <c r="AP55" s="35" t="s">
        <v>924</v>
      </c>
      <c r="AQ55" s="35" t="s">
        <v>924</v>
      </c>
      <c r="AS55" s="35">
        <v>0</v>
      </c>
      <c r="AT55" s="35">
        <v>270419</v>
      </c>
      <c r="AU55" s="35" t="s">
        <v>1295</v>
      </c>
      <c r="AV55" s="35" t="s">
        <v>777</v>
      </c>
      <c r="AW55" s="35" t="s">
        <v>778</v>
      </c>
      <c r="AX55" s="35" t="s">
        <v>565</v>
      </c>
      <c r="AY55" s="35" t="s">
        <v>566</v>
      </c>
      <c r="AZ55" s="35" t="s">
        <v>567</v>
      </c>
      <c r="BA55" s="35" t="s">
        <v>779</v>
      </c>
    </row>
    <row r="56" spans="1:53" s="35" customFormat="1" ht="14.25">
      <c r="A56" s="35">
        <v>55</v>
      </c>
      <c r="B56" s="35">
        <v>1</v>
      </c>
      <c r="C56" s="35">
        <v>1</v>
      </c>
      <c r="D56" s="35">
        <v>0</v>
      </c>
      <c r="E56" s="35">
        <v>0</v>
      </c>
      <c r="G56" s="35" t="s">
        <v>559</v>
      </c>
      <c r="H56" s="35" t="s">
        <v>559</v>
      </c>
      <c r="I56" s="35" t="s">
        <v>925</v>
      </c>
      <c r="J56" s="35">
        <v>337097</v>
      </c>
      <c r="K56" s="35" t="s">
        <v>926</v>
      </c>
      <c r="L56" s="35" t="s">
        <v>927</v>
      </c>
      <c r="M56" s="35" t="s">
        <v>928</v>
      </c>
      <c r="R56" s="35">
        <v>1</v>
      </c>
      <c r="Y56" s="35" t="s">
        <v>929</v>
      </c>
      <c r="Z56" s="35" t="s">
        <v>642</v>
      </c>
      <c r="AA56" s="35" t="s">
        <v>806</v>
      </c>
      <c r="AD56" s="36">
        <v>40257</v>
      </c>
      <c r="AF56" s="35" t="s">
        <v>561</v>
      </c>
      <c r="AJ56" s="35" t="s">
        <v>930</v>
      </c>
      <c r="AK56" s="35" t="s">
        <v>931</v>
      </c>
      <c r="AO56" s="35" t="s">
        <v>560</v>
      </c>
      <c r="AP56" s="35" t="s">
        <v>932</v>
      </c>
      <c r="AQ56" s="35" t="s">
        <v>932</v>
      </c>
      <c r="AS56" s="35">
        <v>0</v>
      </c>
      <c r="AT56" s="35">
        <v>270419</v>
      </c>
      <c r="AU56" s="35" t="s">
        <v>1295</v>
      </c>
      <c r="AV56" s="35" t="s">
        <v>777</v>
      </c>
      <c r="AW56" s="35" t="s">
        <v>778</v>
      </c>
      <c r="AX56" s="35" t="s">
        <v>565</v>
      </c>
      <c r="AY56" s="35" t="s">
        <v>566</v>
      </c>
      <c r="AZ56" s="35" t="s">
        <v>567</v>
      </c>
      <c r="BA56" s="35" t="s">
        <v>779</v>
      </c>
    </row>
    <row r="57" spans="1:53" s="35" customFormat="1" ht="14.25">
      <c r="A57" s="35">
        <v>56</v>
      </c>
      <c r="B57" s="35">
        <v>1</v>
      </c>
      <c r="C57" s="35">
        <v>1</v>
      </c>
      <c r="D57" s="35">
        <v>0</v>
      </c>
      <c r="E57" s="35">
        <v>0</v>
      </c>
      <c r="G57" s="35" t="s">
        <v>559</v>
      </c>
      <c r="H57" s="35" t="s">
        <v>559</v>
      </c>
      <c r="I57" s="35" t="s">
        <v>933</v>
      </c>
      <c r="J57" s="35">
        <v>404001</v>
      </c>
      <c r="K57" s="35" t="s">
        <v>934</v>
      </c>
      <c r="L57" s="35" t="s">
        <v>935</v>
      </c>
      <c r="M57" s="35" t="s">
        <v>936</v>
      </c>
      <c r="R57" s="35">
        <v>1</v>
      </c>
      <c r="Y57" s="35" t="s">
        <v>937</v>
      </c>
      <c r="Z57" s="35" t="s">
        <v>905</v>
      </c>
      <c r="AA57" s="35" t="s">
        <v>938</v>
      </c>
      <c r="AD57" s="36">
        <v>40287</v>
      </c>
      <c r="AF57" s="35" t="s">
        <v>561</v>
      </c>
      <c r="AJ57" s="35" t="s">
        <v>939</v>
      </c>
      <c r="AK57" s="35" t="s">
        <v>940</v>
      </c>
      <c r="AO57" s="35" t="s">
        <v>941</v>
      </c>
      <c r="AP57" s="35" t="s">
        <v>942</v>
      </c>
      <c r="AQ57" s="35" t="s">
        <v>942</v>
      </c>
      <c r="AS57" s="35">
        <v>0</v>
      </c>
      <c r="AT57" s="35">
        <v>270419</v>
      </c>
      <c r="AU57" s="35" t="s">
        <v>1295</v>
      </c>
      <c r="AV57" s="35" t="s">
        <v>777</v>
      </c>
      <c r="AW57" s="35" t="s">
        <v>778</v>
      </c>
      <c r="AX57" s="35" t="s">
        <v>565</v>
      </c>
      <c r="AY57" s="35" t="s">
        <v>566</v>
      </c>
      <c r="AZ57" s="35" t="s">
        <v>567</v>
      </c>
      <c r="BA57" s="35" t="s">
        <v>779</v>
      </c>
    </row>
    <row r="58" spans="1:53" s="35" customFormat="1" ht="14.25">
      <c r="A58" s="35">
        <v>57</v>
      </c>
      <c r="B58" s="35">
        <v>1</v>
      </c>
      <c r="C58" s="35">
        <v>1</v>
      </c>
      <c r="D58" s="35">
        <v>0</v>
      </c>
      <c r="E58" s="35">
        <v>0</v>
      </c>
      <c r="G58" s="35" t="s">
        <v>559</v>
      </c>
      <c r="H58" s="35" t="s">
        <v>559</v>
      </c>
      <c r="I58" s="35" t="s">
        <v>943</v>
      </c>
      <c r="J58" s="35">
        <v>477281</v>
      </c>
      <c r="K58" s="35" t="s">
        <v>944</v>
      </c>
      <c r="L58" s="35" t="s">
        <v>945</v>
      </c>
      <c r="M58" s="35" t="s">
        <v>946</v>
      </c>
      <c r="R58" s="35">
        <v>1</v>
      </c>
      <c r="Y58" s="35" t="s">
        <v>947</v>
      </c>
      <c r="Z58" s="35" t="s">
        <v>948</v>
      </c>
      <c r="AA58" s="35" t="s">
        <v>949</v>
      </c>
      <c r="AD58" s="36">
        <v>40404</v>
      </c>
      <c r="AF58" s="35" t="s">
        <v>561</v>
      </c>
      <c r="AJ58" s="35" t="s">
        <v>950</v>
      </c>
      <c r="AK58" s="35" t="s">
        <v>951</v>
      </c>
      <c r="AO58" s="35" t="s">
        <v>561</v>
      </c>
      <c r="AP58" s="35" t="s">
        <v>952</v>
      </c>
      <c r="AQ58" s="35" t="s">
        <v>952</v>
      </c>
      <c r="AS58" s="35">
        <v>0</v>
      </c>
      <c r="AT58" s="35">
        <v>270419</v>
      </c>
      <c r="AU58" s="35" t="s">
        <v>1295</v>
      </c>
      <c r="AV58" s="35" t="s">
        <v>777</v>
      </c>
      <c r="AW58" s="35" t="s">
        <v>778</v>
      </c>
      <c r="AX58" s="35" t="s">
        <v>565</v>
      </c>
      <c r="AY58" s="35" t="s">
        <v>566</v>
      </c>
      <c r="AZ58" s="35" t="s">
        <v>567</v>
      </c>
      <c r="BA58" s="35" t="s">
        <v>779</v>
      </c>
    </row>
    <row r="59" spans="1:53">
      <c r="Z59" s="33"/>
      <c r="AA59" s="33"/>
      <c r="AB59" s="33"/>
      <c r="AC59" s="33"/>
      <c r="AD59" s="34"/>
    </row>
    <row r="60" spans="1:53">
      <c r="AD60" s="32"/>
    </row>
    <row r="61" spans="1:53">
      <c r="AD61" s="32"/>
    </row>
    <row r="63" spans="1:53">
      <c r="AD63" s="32"/>
    </row>
    <row r="64" spans="1:53">
      <c r="AD64" s="32"/>
    </row>
    <row r="65" spans="30:30">
      <c r="AD65" s="32"/>
    </row>
    <row r="99" spans="25:31">
      <c r="AD99" s="32"/>
    </row>
    <row r="100" spans="25:31">
      <c r="AD100" s="32"/>
    </row>
    <row r="102" spans="25:31">
      <c r="AD102" s="32"/>
    </row>
    <row r="103" spans="25:31">
      <c r="Y103" s="33"/>
      <c r="Z103" s="33"/>
      <c r="AA103" s="33"/>
      <c r="AB103" s="33"/>
      <c r="AC103" s="33"/>
      <c r="AD103" s="34"/>
      <c r="AE103" s="33"/>
    </row>
    <row r="104" spans="25:31">
      <c r="Y104" s="33"/>
      <c r="Z104" s="33"/>
      <c r="AA104" s="33"/>
      <c r="AB104" s="33"/>
      <c r="AC104" s="33"/>
      <c r="AD104" s="34"/>
      <c r="AE104" s="33"/>
    </row>
    <row r="105" spans="25:31">
      <c r="AD105" s="32"/>
    </row>
    <row r="106" spans="25:31">
      <c r="AD106" s="3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7397"/>
  <sheetViews>
    <sheetView rightToLeft="1" topLeftCell="A33" zoomScaleNormal="100" workbookViewId="0">
      <selection activeCell="K45" sqref="K45"/>
    </sheetView>
  </sheetViews>
  <sheetFormatPr defaultRowHeight="15" zeroHeight="1"/>
  <cols>
    <col min="1" max="1" width="4.5" style="20" bestFit="1" customWidth="1"/>
    <col min="2" max="2" width="15" style="24" bestFit="1" customWidth="1"/>
    <col min="3" max="3" width="10.375" style="20" bestFit="1" customWidth="1"/>
    <col min="4" max="4" width="12.125" style="20" customWidth="1"/>
    <col min="5" max="5" width="10.375" style="20" customWidth="1"/>
    <col min="6" max="6" width="11.375" style="21" bestFit="1" customWidth="1"/>
    <col min="7" max="7" width="11.25" style="20" bestFit="1" customWidth="1"/>
    <col min="8" max="8" width="18.5" style="20" bestFit="1" customWidth="1"/>
    <col min="9" max="10" width="11.375" style="20" bestFit="1" customWidth="1"/>
    <col min="11" max="11" width="10.625" customWidth="1"/>
    <col min="12" max="12" width="35.875" hidden="1" customWidth="1"/>
    <col min="13" max="13" width="48.625" hidden="1" customWidth="1"/>
    <col min="14" max="14" width="84.125" customWidth="1"/>
  </cols>
  <sheetData>
    <row r="1" spans="1:14" ht="15.75" thickBot="1">
      <c r="A1" t="s">
        <v>8</v>
      </c>
      <c r="B1" s="24" t="s">
        <v>15</v>
      </c>
      <c r="C1" t="s">
        <v>9</v>
      </c>
      <c r="D1" t="s">
        <v>222</v>
      </c>
      <c r="E1" t="s">
        <v>10</v>
      </c>
      <c r="F1" t="s">
        <v>11</v>
      </c>
      <c r="G1" t="s">
        <v>12</v>
      </c>
      <c r="H1" t="s">
        <v>13</v>
      </c>
      <c r="I1" t="s">
        <v>16</v>
      </c>
      <c r="J1" t="s">
        <v>17</v>
      </c>
      <c r="N1" s="20" t="s">
        <v>120</v>
      </c>
    </row>
    <row r="2" spans="1:14" s="20" customFormat="1" ht="87.6" customHeight="1" thickBot="1">
      <c r="A2" s="20">
        <v>1</v>
      </c>
      <c r="B2" s="24">
        <f>VLOOKUP($A2,MINASA!$A$1:$BA$1000,10,FALSE)</f>
        <v>2396</v>
      </c>
      <c r="C2" s="20" t="str">
        <f>LEFT(B2,8)</f>
        <v>2396</v>
      </c>
      <c r="D2" s="20" t="str">
        <f>VLOOKUP($A2,MINASA!$A$1:$BA$1000,27,FALSE)</f>
        <v>دحمان</v>
      </c>
      <c r="E2" s="20" t="str">
        <f>VLOOKUP($A2,MINASA!$A$1:$BA$1000,26,FALSE)</f>
        <v>بوشندوقة</v>
      </c>
      <c r="F2" s="21" t="str">
        <f>VLOOKUP($A2,MINASA!$A$1:$BA$1000,30,FALSE)</f>
        <v>05/07/2001</v>
      </c>
      <c r="G2" s="20" t="str">
        <f>VLOOKUP($A2,MINASA!$A$1:$BA$1000,31,FALSE)</f>
        <v>الزاوية العابدية</v>
      </c>
      <c r="H2" s="20" t="str">
        <f>VLOOKUP($A2,MINASA!$A$1:$BA$1000,47,FALSE)</f>
        <v>كهرباء السيارات</v>
      </c>
      <c r="I2" s="21" t="str">
        <f>VLOOKUP($A2,MINASA!$A$1:$BA$1000,52,FALSE)</f>
        <v>2026-10-04</v>
      </c>
      <c r="J2" s="21" t="str">
        <f>VLOOKUP($A2,MINASA!$A$1:$BA$1000,53,FALSE)</f>
        <v>2027-10-03</v>
      </c>
      <c r="K2"/>
      <c r="L2" s="20" t="s">
        <v>14</v>
      </c>
      <c r="M2" s="20" t="s">
        <v>18</v>
      </c>
      <c r="N2" s="20" t="s">
        <v>119</v>
      </c>
    </row>
    <row r="3" spans="1:14" ht="81.75" customHeight="1" thickBot="1">
      <c r="A3" s="20">
        <v>2</v>
      </c>
      <c r="B3" s="24">
        <f>VLOOKUP($A3,MINASA!$A$1:$BA$1000,10,FALSE)</f>
        <v>67099</v>
      </c>
      <c r="C3" s="20" t="str">
        <f t="shared" ref="C3" si="0">LEFT(B3,8)</f>
        <v>67099</v>
      </c>
      <c r="D3" s="20" t="str">
        <f>VLOOKUP($A3,MINASA!$A$1:$BA$1000,27,FALSE)</f>
        <v>أحمد</v>
      </c>
      <c r="E3" s="20" t="str">
        <f>VLOOKUP($A3,MINASA!$A$1:$BA$1000,26,FALSE)</f>
        <v>مهدي</v>
      </c>
      <c r="F3" s="21" t="str">
        <f>VLOOKUP($A3,MINASA!$A$1:$BA$1000,30,FALSE)</f>
        <v>28/03/2001</v>
      </c>
      <c r="G3" s="20" t="str">
        <f>VLOOKUP($A3,MINASA!$A$1:$BA$1000,31,FALSE)</f>
        <v>تقرت</v>
      </c>
      <c r="H3" s="20" t="str">
        <f>VLOOKUP($A3,MINASA!$A$1:$BA$1000,47,FALSE)</f>
        <v>كهرباء السيارات</v>
      </c>
      <c r="I3" s="21" t="str">
        <f>VLOOKUP($A3,MINASA!$A$1:$BA$1000,52,FALSE)</f>
        <v>2026-10-04</v>
      </c>
      <c r="J3" s="21" t="str">
        <f>VLOOKUP($A3,MINASA!$A$1:$BA$1000,53,FALSE)</f>
        <v>2027-10-03</v>
      </c>
      <c r="L3" s="20" t="s">
        <v>14</v>
      </c>
      <c r="M3" s="20" t="s">
        <v>19</v>
      </c>
      <c r="N3" s="20" t="s">
        <v>121</v>
      </c>
    </row>
    <row r="4" spans="1:14" ht="81.75" customHeight="1" thickBot="1">
      <c r="A4" s="20">
        <v>3</v>
      </c>
      <c r="B4" s="24">
        <f>VLOOKUP($A4,MINASA!$A$1:$BA$1000,10,FALSE)</f>
        <v>477133</v>
      </c>
      <c r="C4" s="20" t="str">
        <f>LEFT(B4,8)</f>
        <v>477133</v>
      </c>
      <c r="D4" s="20" t="str">
        <f>VLOOKUP($A4,MINASA!$A$1:$BA$1000,27,FALSE)</f>
        <v>عبد الكريم</v>
      </c>
      <c r="E4" s="20" t="str">
        <f>VLOOKUP($A4,MINASA!$A$1:$BA$1000,26,FALSE)</f>
        <v>بن زازه</v>
      </c>
      <c r="F4" s="21" t="str">
        <f>VLOOKUP($A4,MINASA!$A$1:$BA$1000,30,FALSE)</f>
        <v>21/03/2004</v>
      </c>
      <c r="G4" s="20" t="str">
        <f>VLOOKUP($A4,MINASA!$A$1:$BA$1000,31,FALSE)</f>
        <v>الطيبات</v>
      </c>
      <c r="H4" s="20" t="str">
        <f>VLOOKUP($A4,MINASA!$A$1:$BA$1000,47,FALSE)</f>
        <v>كهرباء السيارات</v>
      </c>
      <c r="I4" s="21" t="str">
        <f>VLOOKUP($A4,MINASA!$A$1:$BA$1000,52,FALSE)</f>
        <v>2026-10-04</v>
      </c>
      <c r="J4" s="21" t="str">
        <f>VLOOKUP($A4,MINASA!$A$1:$BA$1000,53,FALSE)</f>
        <v>2027-10-03</v>
      </c>
      <c r="L4" s="20" t="s">
        <v>14</v>
      </c>
      <c r="M4" s="20" t="s">
        <v>20</v>
      </c>
      <c r="N4" s="20" t="s">
        <v>122</v>
      </c>
    </row>
    <row r="5" spans="1:14" ht="81.75" customHeight="1" thickBot="1">
      <c r="A5" s="20">
        <v>4</v>
      </c>
      <c r="B5" s="24">
        <f>VLOOKUP($A5,MINASA!$A$1:$BA$1000,10,FALSE)</f>
        <v>184194</v>
      </c>
      <c r="C5" s="20" t="str">
        <f t="shared" ref="C5:C68" si="1">LEFT(B5,8)</f>
        <v>184194</v>
      </c>
      <c r="D5" s="20" t="str">
        <f>VLOOKUP($A5,MINASA!$A$1:$BA$1000,27,FALSE)</f>
        <v>عبد الجبار</v>
      </c>
      <c r="E5" s="20" t="str">
        <f>VLOOKUP($A5,MINASA!$A$1:$BA$1000,26,FALSE)</f>
        <v>سلفاوي</v>
      </c>
      <c r="F5" s="21" t="str">
        <f>VLOOKUP($A5,MINASA!$A$1:$BA$1000,30,FALSE)</f>
        <v>10/12/2005</v>
      </c>
      <c r="G5" s="20" t="str">
        <f>VLOOKUP($A5,MINASA!$A$1:$BA$1000,31,FALSE)</f>
        <v>بني أسود</v>
      </c>
      <c r="H5" s="20" t="str">
        <f>VLOOKUP($A5,MINASA!$A$1:$BA$1000,47,FALSE)</f>
        <v>كهرباء السيارات</v>
      </c>
      <c r="I5" s="21" t="str">
        <f>VLOOKUP($A5,MINASA!$A$1:$BA$1000,52,FALSE)</f>
        <v>2026-10-04</v>
      </c>
      <c r="J5" s="21" t="str">
        <f>VLOOKUP($A5,MINASA!$A$1:$BA$1000,53,FALSE)</f>
        <v>2027-10-03</v>
      </c>
      <c r="L5" s="20" t="s">
        <v>14</v>
      </c>
      <c r="M5" s="20" t="s">
        <v>21</v>
      </c>
      <c r="N5" s="20" t="s">
        <v>123</v>
      </c>
    </row>
    <row r="6" spans="1:14" ht="81.75" customHeight="1" thickBot="1">
      <c r="A6" s="20">
        <v>5</v>
      </c>
      <c r="B6" s="24">
        <f>VLOOKUP($A6,MINASA!$A$1:$BA$1000,10,FALSE)</f>
        <v>472920</v>
      </c>
      <c r="C6" s="20" t="str">
        <f t="shared" si="1"/>
        <v>472920</v>
      </c>
      <c r="D6" s="20" t="str">
        <f>VLOOKUP($A6,MINASA!$A$1:$BA$1000,27,FALSE)</f>
        <v>عثمان</v>
      </c>
      <c r="E6" s="20" t="str">
        <f>VLOOKUP($A6,MINASA!$A$1:$BA$1000,26,FALSE)</f>
        <v>بالحسين</v>
      </c>
      <c r="F6" s="21" t="str">
        <f>VLOOKUP($A6,MINASA!$A$1:$BA$1000,30,FALSE)</f>
        <v>09/12/2006</v>
      </c>
      <c r="G6" s="20" t="str">
        <f>VLOOKUP($A6,MINASA!$A$1:$BA$1000,31,FALSE)</f>
        <v>تقرت</v>
      </c>
      <c r="H6" s="20" t="str">
        <f>VLOOKUP($A6,MINASA!$A$1:$BA$1000,47,FALSE)</f>
        <v>كهرباء السيارات</v>
      </c>
      <c r="I6" s="21" t="str">
        <f>VLOOKUP($A6,MINASA!$A$1:$BA$1000,52,FALSE)</f>
        <v>2026-10-04</v>
      </c>
      <c r="J6" s="21" t="str">
        <f>VLOOKUP($A6,MINASA!$A$1:$BA$1000,53,FALSE)</f>
        <v>2027-10-03</v>
      </c>
      <c r="L6" s="20" t="s">
        <v>14</v>
      </c>
      <c r="M6" s="20" t="s">
        <v>22</v>
      </c>
      <c r="N6" s="20" t="s">
        <v>124</v>
      </c>
    </row>
    <row r="7" spans="1:14" ht="81.75" customHeight="1" thickBot="1">
      <c r="A7" s="20">
        <v>6</v>
      </c>
      <c r="B7" s="24">
        <f>VLOOKUP($A7,MINASA!$A$1:$BA$1000,10,FALSE)</f>
        <v>679413</v>
      </c>
      <c r="C7" s="20" t="str">
        <f t="shared" si="1"/>
        <v>679413</v>
      </c>
      <c r="D7" s="20" t="str">
        <f>VLOOKUP($A7,MINASA!$A$1:$BA$1000,27,FALSE)</f>
        <v>محمد شاكر الله</v>
      </c>
      <c r="E7" s="20" t="str">
        <f>VLOOKUP($A7,MINASA!$A$1:$BA$1000,26,FALSE)</f>
        <v>غيلاني</v>
      </c>
      <c r="F7" s="21" t="str">
        <f>VLOOKUP($A7,MINASA!$A$1:$BA$1000,30,FALSE)</f>
        <v>28/12/2006</v>
      </c>
      <c r="G7" s="20" t="str">
        <f>VLOOKUP($A7,MINASA!$A$1:$BA$1000,31,FALSE)</f>
        <v>تقرت</v>
      </c>
      <c r="H7" s="20" t="str">
        <f>VLOOKUP($A7,MINASA!$A$1:$BA$1000,47,FALSE)</f>
        <v>كهرباء السيارات</v>
      </c>
      <c r="I7" s="21" t="str">
        <f>VLOOKUP($A7,MINASA!$A$1:$BA$1000,52,FALSE)</f>
        <v>2026-10-04</v>
      </c>
      <c r="J7" s="21" t="str">
        <f>VLOOKUP($A7,MINASA!$A$1:$BA$1000,53,FALSE)</f>
        <v>2027-10-03</v>
      </c>
      <c r="L7" s="20" t="s">
        <v>14</v>
      </c>
      <c r="M7" s="20" t="s">
        <v>23</v>
      </c>
      <c r="N7" s="20" t="s">
        <v>125</v>
      </c>
    </row>
    <row r="8" spans="1:14" ht="81.75" customHeight="1" thickBot="1">
      <c r="A8" s="20">
        <v>7</v>
      </c>
      <c r="B8" s="24">
        <f>VLOOKUP($A8,MINASA!$A$1:$BA$1000,10,FALSE)</f>
        <v>446305</v>
      </c>
      <c r="C8" s="20" t="str">
        <f t="shared" si="1"/>
        <v>446305</v>
      </c>
      <c r="D8" s="20" t="str">
        <f>VLOOKUP($A8,MINASA!$A$1:$BA$1000,27,FALSE)</f>
        <v>عبد  الواجد</v>
      </c>
      <c r="E8" s="20" t="str">
        <f>VLOOKUP($A8,MINASA!$A$1:$BA$1000,26,FALSE)</f>
        <v>بوكلبة</v>
      </c>
      <c r="F8" s="21" t="str">
        <f>VLOOKUP($A8,MINASA!$A$1:$BA$1000,30,FALSE)</f>
        <v>24/07/2007</v>
      </c>
      <c r="G8" s="20" t="str">
        <f>VLOOKUP($A8,MINASA!$A$1:$BA$1000,31,FALSE)</f>
        <v>تبسبست</v>
      </c>
      <c r="H8" s="20" t="str">
        <f>VLOOKUP($A8,MINASA!$A$1:$BA$1000,47,FALSE)</f>
        <v>كهرباء السيارات</v>
      </c>
      <c r="I8" s="21" t="str">
        <f>VLOOKUP($A8,MINASA!$A$1:$BA$1000,52,FALSE)</f>
        <v>2026-10-04</v>
      </c>
      <c r="J8" s="21" t="str">
        <f>VLOOKUP($A8,MINASA!$A$1:$BA$1000,53,FALSE)</f>
        <v>2027-10-03</v>
      </c>
      <c r="L8" s="20" t="s">
        <v>14</v>
      </c>
      <c r="M8" s="20" t="s">
        <v>24</v>
      </c>
      <c r="N8" s="20" t="s">
        <v>126</v>
      </c>
    </row>
    <row r="9" spans="1:14" ht="81.75" customHeight="1" thickBot="1">
      <c r="A9" s="20">
        <v>8</v>
      </c>
      <c r="B9" s="24">
        <f>VLOOKUP($A9,MINASA!$A$1:$BA$1000,10,FALSE)</f>
        <v>543466</v>
      </c>
      <c r="C9" s="20" t="str">
        <f t="shared" si="1"/>
        <v>543466</v>
      </c>
      <c r="D9" s="20" t="str">
        <f>VLOOKUP($A9,MINASA!$A$1:$BA$1000,27,FALSE)</f>
        <v>خالد</v>
      </c>
      <c r="E9" s="20" t="str">
        <f>VLOOKUP($A9,MINASA!$A$1:$BA$1000,26,FALSE)</f>
        <v>بن شنة</v>
      </c>
      <c r="F9" s="21" t="str">
        <f>VLOOKUP($A9,MINASA!$A$1:$BA$1000,30,FALSE)</f>
        <v>25/07/2007</v>
      </c>
      <c r="G9" s="20" t="str">
        <f>VLOOKUP($A9,MINASA!$A$1:$BA$1000,31,FALSE)</f>
        <v>النزلة</v>
      </c>
      <c r="H9" s="20" t="str">
        <f>VLOOKUP($A9,MINASA!$A$1:$BA$1000,47,FALSE)</f>
        <v>كهرباء السيارات</v>
      </c>
      <c r="I9" s="21" t="str">
        <f>VLOOKUP($A9,MINASA!$A$1:$BA$1000,52,FALSE)</f>
        <v>2026-10-04</v>
      </c>
      <c r="J9" s="21" t="str">
        <f>VLOOKUP($A9,MINASA!$A$1:$BA$1000,53,FALSE)</f>
        <v>2027-10-03</v>
      </c>
      <c r="L9" s="20" t="s">
        <v>14</v>
      </c>
      <c r="M9" s="20" t="s">
        <v>25</v>
      </c>
      <c r="N9" s="20" t="s">
        <v>127</v>
      </c>
    </row>
    <row r="10" spans="1:14" ht="81.75" customHeight="1" thickBot="1">
      <c r="A10" s="20">
        <v>9</v>
      </c>
      <c r="B10" s="24">
        <f>VLOOKUP($A10,MINASA!$A$1:$BA$1000,10,FALSE)</f>
        <v>726281</v>
      </c>
      <c r="C10" s="20" t="str">
        <f t="shared" si="1"/>
        <v>726281</v>
      </c>
      <c r="D10" s="20" t="str">
        <f>VLOOKUP($A10,MINASA!$A$1:$BA$1000,27,FALSE)</f>
        <v>نورالدين</v>
      </c>
      <c r="E10" s="20" t="str">
        <f>VLOOKUP($A10,MINASA!$A$1:$BA$1000,26,FALSE)</f>
        <v>عبعوب</v>
      </c>
      <c r="F10" s="21" t="str">
        <f>VLOOKUP($A10,MINASA!$A$1:$BA$1000,30,FALSE)</f>
        <v>16/06/2007</v>
      </c>
      <c r="G10" s="20" t="str">
        <f>VLOOKUP($A10,MINASA!$A$1:$BA$1000,31,FALSE)</f>
        <v>الزاوية العابدية</v>
      </c>
      <c r="H10" s="20" t="str">
        <f>VLOOKUP($A10,MINASA!$A$1:$BA$1000,47,FALSE)</f>
        <v>كهرباء السيارات</v>
      </c>
      <c r="I10" s="21" t="str">
        <f>VLOOKUP($A10,MINASA!$A$1:$BA$1000,52,FALSE)</f>
        <v>2026-10-04</v>
      </c>
      <c r="J10" s="21" t="str">
        <f>VLOOKUP($A10,MINASA!$A$1:$BA$1000,53,FALSE)</f>
        <v>2027-10-03</v>
      </c>
      <c r="L10" s="20" t="s">
        <v>14</v>
      </c>
      <c r="M10" s="20" t="s">
        <v>26</v>
      </c>
      <c r="N10" s="20" t="s">
        <v>128</v>
      </c>
    </row>
    <row r="11" spans="1:14" ht="81.75" customHeight="1" thickBot="1">
      <c r="A11" s="20">
        <v>10</v>
      </c>
      <c r="B11" s="24">
        <f>VLOOKUP($A11,MINASA!$A$1:$BA$1000,10,FALSE)</f>
        <v>691398</v>
      </c>
      <c r="C11" s="20" t="str">
        <f t="shared" si="1"/>
        <v>691398</v>
      </c>
      <c r="D11" s="20" t="str">
        <f>VLOOKUP($A11,MINASA!$A$1:$BA$1000,27,FALSE)</f>
        <v>محمد ضياء الدين</v>
      </c>
      <c r="E11" s="20" t="str">
        <f>VLOOKUP($A11,MINASA!$A$1:$BA$1000,26,FALSE)</f>
        <v>وقاد</v>
      </c>
      <c r="F11" s="21" t="str">
        <f>VLOOKUP($A11,MINASA!$A$1:$BA$1000,30,FALSE)</f>
        <v>13/05/2007</v>
      </c>
      <c r="G11" s="20" t="str">
        <f>VLOOKUP($A11,MINASA!$A$1:$BA$1000,31,FALSE)</f>
        <v>تقرت</v>
      </c>
      <c r="H11" s="20" t="str">
        <f>VLOOKUP($A11,MINASA!$A$1:$BA$1000,47,FALSE)</f>
        <v>كهرباء السيارات</v>
      </c>
      <c r="I11" s="21" t="str">
        <f>VLOOKUP($A11,MINASA!$A$1:$BA$1000,52,FALSE)</f>
        <v>2026-10-04</v>
      </c>
      <c r="J11" s="21" t="str">
        <f>VLOOKUP($A11,MINASA!$A$1:$BA$1000,53,FALSE)</f>
        <v>2027-10-03</v>
      </c>
      <c r="L11" s="20" t="s">
        <v>14</v>
      </c>
      <c r="M11" s="20" t="s">
        <v>27</v>
      </c>
      <c r="N11" s="20" t="s">
        <v>129</v>
      </c>
    </row>
    <row r="12" spans="1:14" ht="81.75" customHeight="1" thickBot="1">
      <c r="A12" s="20">
        <v>11</v>
      </c>
      <c r="B12" s="24">
        <f>VLOOKUP($A12,MINASA!$A$1:$BA$1000,10,FALSE)</f>
        <v>745448</v>
      </c>
      <c r="C12" s="20" t="str">
        <f t="shared" si="1"/>
        <v>745448</v>
      </c>
      <c r="D12" s="20" t="str">
        <f>VLOOKUP($A12,MINASA!$A$1:$BA$1000,27,FALSE)</f>
        <v>زياد</v>
      </c>
      <c r="E12" s="20" t="str">
        <f>VLOOKUP($A12,MINASA!$A$1:$BA$1000,26,FALSE)</f>
        <v>غويني</v>
      </c>
      <c r="F12" s="21" t="str">
        <f>VLOOKUP($A12,MINASA!$A$1:$BA$1000,30,FALSE)</f>
        <v>20/09/2008</v>
      </c>
      <c r="G12" s="20" t="str">
        <f>VLOOKUP($A12,MINASA!$A$1:$BA$1000,31,FALSE)</f>
        <v>بني أسود</v>
      </c>
      <c r="H12" s="20" t="str">
        <f>VLOOKUP($A12,MINASA!$A$1:$BA$1000,47,FALSE)</f>
        <v>كهرباء السيارات</v>
      </c>
      <c r="I12" s="21" t="str">
        <f>VLOOKUP($A12,MINASA!$A$1:$BA$1000,52,FALSE)</f>
        <v>2026-10-04</v>
      </c>
      <c r="J12" s="21" t="str">
        <f>VLOOKUP($A12,MINASA!$A$1:$BA$1000,53,FALSE)</f>
        <v>2027-10-03</v>
      </c>
      <c r="L12" s="20" t="s">
        <v>14</v>
      </c>
      <c r="M12" s="20" t="s">
        <v>28</v>
      </c>
      <c r="N12" s="20" t="s">
        <v>130</v>
      </c>
    </row>
    <row r="13" spans="1:14" ht="81.75" customHeight="1" thickBot="1">
      <c r="A13" s="20">
        <v>12</v>
      </c>
      <c r="B13" s="24">
        <f>VLOOKUP($A13,MINASA!$A$1:$BA$1000,10,FALSE)</f>
        <v>257487</v>
      </c>
      <c r="C13" s="20" t="str">
        <f t="shared" si="1"/>
        <v>257487</v>
      </c>
      <c r="D13" s="20" t="str">
        <f>VLOOKUP($A13,MINASA!$A$1:$BA$1000,27,FALSE)</f>
        <v>اسحاق</v>
      </c>
      <c r="E13" s="20" t="str">
        <f>VLOOKUP($A13,MINASA!$A$1:$BA$1000,26,FALSE)</f>
        <v>طرية</v>
      </c>
      <c r="F13" s="21" t="str">
        <f>VLOOKUP($A13,MINASA!$A$1:$BA$1000,30,FALSE)</f>
        <v>26/11/2008</v>
      </c>
      <c r="G13" s="20" t="str">
        <f>VLOOKUP($A13,MINASA!$A$1:$BA$1000,31,FALSE)</f>
        <v>تبسبست</v>
      </c>
      <c r="H13" s="20" t="str">
        <f>VLOOKUP($A13,MINASA!$A$1:$BA$1000,47,FALSE)</f>
        <v>كهرباء السيارات</v>
      </c>
      <c r="I13" s="21" t="str">
        <f>VLOOKUP($A13,MINASA!$A$1:$BA$1000,52,FALSE)</f>
        <v>2026-10-04</v>
      </c>
      <c r="J13" s="21" t="str">
        <f>VLOOKUP($A13,MINASA!$A$1:$BA$1000,53,FALSE)</f>
        <v>2027-10-03</v>
      </c>
      <c r="L13" s="20" t="s">
        <v>14</v>
      </c>
      <c r="M13" s="20" t="s">
        <v>29</v>
      </c>
      <c r="N13" s="20" t="s">
        <v>131</v>
      </c>
    </row>
    <row r="14" spans="1:14" ht="81.75" customHeight="1" thickBot="1">
      <c r="A14" s="20">
        <v>13</v>
      </c>
      <c r="B14" s="24">
        <f>VLOOKUP($A14,MINASA!$A$1:$BA$1000,10,FALSE)</f>
        <v>213307</v>
      </c>
      <c r="C14" s="20" t="str">
        <f t="shared" si="1"/>
        <v>213307</v>
      </c>
      <c r="D14" s="20" t="str">
        <f>VLOOKUP($A14,MINASA!$A$1:$BA$1000,27,FALSE)</f>
        <v>منتصر بالله</v>
      </c>
      <c r="E14" s="20" t="str">
        <f>VLOOKUP($A14,MINASA!$A$1:$BA$1000,26,FALSE)</f>
        <v>التهامي</v>
      </c>
      <c r="F14" s="21" t="str">
        <f>VLOOKUP($A14,MINASA!$A$1:$BA$1000,30,FALSE)</f>
        <v>03/01/2008</v>
      </c>
      <c r="G14" s="20" t="str">
        <f>VLOOKUP($A14,MINASA!$A$1:$BA$1000,31,FALSE)</f>
        <v>النزلة</v>
      </c>
      <c r="H14" s="20" t="str">
        <f>VLOOKUP($A14,MINASA!$A$1:$BA$1000,47,FALSE)</f>
        <v>كهرباء السيارات</v>
      </c>
      <c r="I14" s="21" t="str">
        <f>VLOOKUP($A14,MINASA!$A$1:$BA$1000,52,FALSE)</f>
        <v>2026-10-04</v>
      </c>
      <c r="J14" s="21" t="str">
        <f>VLOOKUP($A14,MINASA!$A$1:$BA$1000,53,FALSE)</f>
        <v>2027-10-03</v>
      </c>
      <c r="L14" s="20" t="s">
        <v>14</v>
      </c>
      <c r="M14" s="20" t="s">
        <v>30</v>
      </c>
      <c r="N14" s="20" t="s">
        <v>132</v>
      </c>
    </row>
    <row r="15" spans="1:14" ht="81.75" customHeight="1" thickBot="1">
      <c r="A15" s="20">
        <v>14</v>
      </c>
      <c r="B15" s="24">
        <f>VLOOKUP($A15,MINASA!$A$1:$BA$1000,10,FALSE)</f>
        <v>164986</v>
      </c>
      <c r="C15" s="20" t="str">
        <f t="shared" si="1"/>
        <v>164986</v>
      </c>
      <c r="D15" s="20" t="str">
        <f>VLOOKUP($A15,MINASA!$A$1:$BA$1000,27,FALSE)</f>
        <v>صابر</v>
      </c>
      <c r="E15" s="20" t="str">
        <f>VLOOKUP($A15,MINASA!$A$1:$BA$1000,26,FALSE)</f>
        <v>جمل</v>
      </c>
      <c r="F15" s="21" t="str">
        <f>VLOOKUP($A15,MINASA!$A$1:$BA$1000,30,FALSE)</f>
        <v>20/09/2008</v>
      </c>
      <c r="G15" s="20" t="str">
        <f>VLOOKUP($A15,MINASA!$A$1:$BA$1000,31,FALSE)</f>
        <v>النزلة</v>
      </c>
      <c r="H15" s="20" t="str">
        <f>VLOOKUP($A15,MINASA!$A$1:$BA$1000,47,FALSE)</f>
        <v>كهرباء السيارات</v>
      </c>
      <c r="I15" s="21" t="str">
        <f>VLOOKUP($A15,MINASA!$A$1:$BA$1000,52,FALSE)</f>
        <v>2026-10-04</v>
      </c>
      <c r="J15" s="21" t="str">
        <f>VLOOKUP($A15,MINASA!$A$1:$BA$1000,53,FALSE)</f>
        <v>2027-10-03</v>
      </c>
      <c r="L15" s="20" t="s">
        <v>14</v>
      </c>
      <c r="M15" s="20" t="s">
        <v>31</v>
      </c>
      <c r="N15" s="20" t="s">
        <v>133</v>
      </c>
    </row>
    <row r="16" spans="1:14" ht="81.75" customHeight="1" thickBot="1">
      <c r="A16" s="20">
        <v>15</v>
      </c>
      <c r="B16" s="24">
        <f>VLOOKUP($A16,MINASA!$A$1:$BA$1000,10,FALSE)</f>
        <v>213484</v>
      </c>
      <c r="C16" s="20" t="str">
        <f t="shared" si="1"/>
        <v>213484</v>
      </c>
      <c r="D16" s="20" t="str">
        <f>VLOOKUP($A16,MINASA!$A$1:$BA$1000,27,FALSE)</f>
        <v>أبوبكر</v>
      </c>
      <c r="E16" s="20" t="str">
        <f>VLOOKUP($A16,MINASA!$A$1:$BA$1000,26,FALSE)</f>
        <v>خرفي</v>
      </c>
      <c r="F16" s="21" t="str">
        <f>VLOOKUP($A16,MINASA!$A$1:$BA$1000,30,FALSE)</f>
        <v>13/12/2008</v>
      </c>
      <c r="G16" s="20" t="str">
        <f>VLOOKUP($A16,MINASA!$A$1:$BA$1000,31,FALSE)</f>
        <v>النزلة</v>
      </c>
      <c r="H16" s="20" t="str">
        <f>VLOOKUP($A16,MINASA!$A$1:$BA$1000,47,FALSE)</f>
        <v>كهرباء السيارات</v>
      </c>
      <c r="I16" s="21" t="str">
        <f>VLOOKUP($A16,MINASA!$A$1:$BA$1000,52,FALSE)</f>
        <v>2026-10-04</v>
      </c>
      <c r="J16" s="21" t="str">
        <f>VLOOKUP($A16,MINASA!$A$1:$BA$1000,53,FALSE)</f>
        <v>2027-10-03</v>
      </c>
      <c r="L16" s="20" t="s">
        <v>14</v>
      </c>
      <c r="M16" s="20" t="s">
        <v>32</v>
      </c>
      <c r="N16" s="20" t="s">
        <v>134</v>
      </c>
    </row>
    <row r="17" spans="1:14" ht="81.75" customHeight="1" thickBot="1">
      <c r="A17" s="20">
        <v>16</v>
      </c>
      <c r="B17" s="24">
        <f>VLOOKUP($A17,MINASA!$A$1:$BA$1000,10,FALSE)</f>
        <v>585261</v>
      </c>
      <c r="C17" s="20" t="str">
        <f t="shared" si="1"/>
        <v>585261</v>
      </c>
      <c r="D17" s="20" t="str">
        <f>VLOOKUP($A17,MINASA!$A$1:$BA$1000,27,FALSE)</f>
        <v>سيف الدين</v>
      </c>
      <c r="E17" s="20" t="str">
        <f>VLOOKUP($A17,MINASA!$A$1:$BA$1000,26,FALSE)</f>
        <v>بن هنية</v>
      </c>
      <c r="F17" s="21" t="str">
        <f>VLOOKUP($A17,MINASA!$A$1:$BA$1000,30,FALSE)</f>
        <v>29/04/2008</v>
      </c>
      <c r="G17" s="20" t="str">
        <f>VLOOKUP($A17,MINASA!$A$1:$BA$1000,31,FALSE)</f>
        <v>الزاوية العابدية</v>
      </c>
      <c r="H17" s="20" t="str">
        <f>VLOOKUP($A17,MINASA!$A$1:$BA$1000,47,FALSE)</f>
        <v>كهرباء السيارات</v>
      </c>
      <c r="I17" s="21" t="str">
        <f>VLOOKUP($A17,MINASA!$A$1:$BA$1000,52,FALSE)</f>
        <v>2026-10-04</v>
      </c>
      <c r="J17" s="21" t="str">
        <f>VLOOKUP($A17,MINASA!$A$1:$BA$1000,53,FALSE)</f>
        <v>2027-10-03</v>
      </c>
      <c r="L17" s="20" t="s">
        <v>14</v>
      </c>
      <c r="M17" s="20" t="s">
        <v>33</v>
      </c>
      <c r="N17" s="20" t="s">
        <v>135</v>
      </c>
    </row>
    <row r="18" spans="1:14" ht="81.75" customHeight="1" thickBot="1">
      <c r="A18" s="20">
        <v>17</v>
      </c>
      <c r="B18" s="24">
        <f>VLOOKUP($A18,MINASA!$A$1:$BA$1000,10,FALSE)</f>
        <v>657347</v>
      </c>
      <c r="C18" s="20" t="str">
        <f t="shared" si="1"/>
        <v>657347</v>
      </c>
      <c r="D18" s="20" t="str">
        <f>VLOOKUP($A18,MINASA!$A$1:$BA$1000,27,FALSE)</f>
        <v>أسامة</v>
      </c>
      <c r="E18" s="20" t="str">
        <f>VLOOKUP($A18,MINASA!$A$1:$BA$1000,26,FALSE)</f>
        <v>غيابه</v>
      </c>
      <c r="F18" s="21" t="str">
        <f>VLOOKUP($A18,MINASA!$A$1:$BA$1000,30,FALSE)</f>
        <v>28/10/2008</v>
      </c>
      <c r="G18" s="20" t="str">
        <f>VLOOKUP($A18,MINASA!$A$1:$BA$1000,31,FALSE)</f>
        <v>تقرت</v>
      </c>
      <c r="H18" s="20" t="str">
        <f>VLOOKUP($A18,MINASA!$A$1:$BA$1000,47,FALSE)</f>
        <v>كهرباء السيارات</v>
      </c>
      <c r="I18" s="21" t="str">
        <f>VLOOKUP($A18,MINASA!$A$1:$BA$1000,52,FALSE)</f>
        <v>2026-10-04</v>
      </c>
      <c r="J18" s="21" t="str">
        <f>VLOOKUP($A18,MINASA!$A$1:$BA$1000,53,FALSE)</f>
        <v>2027-10-03</v>
      </c>
      <c r="L18" s="20" t="s">
        <v>14</v>
      </c>
      <c r="M18" s="20" t="s">
        <v>34</v>
      </c>
      <c r="N18" s="20" t="s">
        <v>136</v>
      </c>
    </row>
    <row r="19" spans="1:14" ht="81.75" customHeight="1" thickBot="1">
      <c r="A19" s="20">
        <v>18</v>
      </c>
      <c r="B19" s="24">
        <f>VLOOKUP($A19,MINASA!$A$1:$BA$1000,10,FALSE)</f>
        <v>654626</v>
      </c>
      <c r="C19" s="20" t="str">
        <f t="shared" si="1"/>
        <v>654626</v>
      </c>
      <c r="D19" s="20" t="str">
        <f>VLOOKUP($A19,MINASA!$A$1:$BA$1000,27,FALSE)</f>
        <v>صلاح الدين</v>
      </c>
      <c r="E19" s="20" t="str">
        <f>VLOOKUP($A19,MINASA!$A$1:$BA$1000,26,FALSE)</f>
        <v>مناصرية</v>
      </c>
      <c r="F19" s="21">
        <f>VLOOKUP($A19,MINASA!$A$1:$BA$1000,30,FALSE)</f>
        <v>40124</v>
      </c>
      <c r="G19" s="20">
        <f>VLOOKUP($A19,MINASA!$A$1:$BA$1000,31,FALSE)</f>
        <v>0</v>
      </c>
      <c r="H19" s="20" t="str">
        <f>VLOOKUP($A19,MINASA!$A$1:$BA$1000,47,FALSE)</f>
        <v>كهرباء السيارات</v>
      </c>
      <c r="I19" s="21" t="str">
        <f>VLOOKUP($A19,MINASA!$A$1:$BA$1000,52,FALSE)</f>
        <v>2026-10-04</v>
      </c>
      <c r="J19" s="21" t="str">
        <f>VLOOKUP($A19,MINASA!$A$1:$BA$1000,53,FALSE)</f>
        <v>2027-10-03</v>
      </c>
      <c r="L19" s="20" t="s">
        <v>14</v>
      </c>
      <c r="M19" s="20" t="s">
        <v>35</v>
      </c>
      <c r="N19" s="20" t="s">
        <v>137</v>
      </c>
    </row>
    <row r="20" spans="1:14" ht="81.75" customHeight="1" thickBot="1">
      <c r="A20" s="20">
        <v>19</v>
      </c>
      <c r="B20" s="24">
        <f>VLOOKUP($A20,MINASA!$A$1:$BA$1000,10,FALSE)</f>
        <v>232854</v>
      </c>
      <c r="C20" s="20" t="str">
        <f t="shared" si="1"/>
        <v>232854</v>
      </c>
      <c r="D20" s="20" t="str">
        <f>VLOOKUP($A20,MINASA!$A$1:$BA$1000,27,FALSE)</f>
        <v>معتصم بالله</v>
      </c>
      <c r="E20" s="20" t="str">
        <f>VLOOKUP($A20,MINASA!$A$1:$BA$1000,26,FALSE)</f>
        <v>بن رمضانه</v>
      </c>
      <c r="F20" s="21" t="str">
        <f>VLOOKUP($A20,MINASA!$A$1:$BA$1000,30,FALSE)</f>
        <v>25/06/2009</v>
      </c>
      <c r="G20" s="20" t="str">
        <f>VLOOKUP($A20,MINASA!$A$1:$BA$1000,31,FALSE)</f>
        <v>الزاوية العابدية</v>
      </c>
      <c r="H20" s="20" t="str">
        <f>VLOOKUP($A20,MINASA!$A$1:$BA$1000,47,FALSE)</f>
        <v>كهرباء السيارات</v>
      </c>
      <c r="I20" s="21" t="str">
        <f>VLOOKUP($A20,MINASA!$A$1:$BA$1000,52,FALSE)</f>
        <v>2026-10-04</v>
      </c>
      <c r="J20" s="21" t="str">
        <f>VLOOKUP($A20,MINASA!$A$1:$BA$1000,53,FALSE)</f>
        <v>2027-10-03</v>
      </c>
      <c r="L20" s="20" t="s">
        <v>14</v>
      </c>
      <c r="M20" s="20" t="s">
        <v>36</v>
      </c>
      <c r="N20" s="20" t="s">
        <v>138</v>
      </c>
    </row>
    <row r="21" spans="1:14" ht="81.75" customHeight="1" thickBot="1">
      <c r="A21" s="20">
        <v>20</v>
      </c>
      <c r="B21" s="24">
        <f>VLOOKUP($A21,MINASA!$A$1:$BA$1000,10,FALSE)</f>
        <v>544196</v>
      </c>
      <c r="C21" s="20" t="str">
        <f t="shared" si="1"/>
        <v>544196</v>
      </c>
      <c r="D21" s="20" t="str">
        <f>VLOOKUP($A21,MINASA!$A$1:$BA$1000,27,FALSE)</f>
        <v>طلحة</v>
      </c>
      <c r="E21" s="20" t="str">
        <f>VLOOKUP($A21,MINASA!$A$1:$BA$1000,26,FALSE)</f>
        <v>غولة</v>
      </c>
      <c r="F21" s="21">
        <f>VLOOKUP($A21,MINASA!$A$1:$BA$1000,30,FALSE)</f>
        <v>39864</v>
      </c>
      <c r="G21" s="20">
        <f>VLOOKUP($A21,MINASA!$A$1:$BA$1000,31,FALSE)</f>
        <v>0</v>
      </c>
      <c r="H21" s="20" t="str">
        <f>VLOOKUP($A21,MINASA!$A$1:$BA$1000,47,FALSE)</f>
        <v>كهرباء السيارات</v>
      </c>
      <c r="I21" s="21" t="str">
        <f>VLOOKUP($A21,MINASA!$A$1:$BA$1000,52,FALSE)</f>
        <v>2026-10-04</v>
      </c>
      <c r="J21" s="21" t="str">
        <f>VLOOKUP($A21,MINASA!$A$1:$BA$1000,53,FALSE)</f>
        <v>2027-10-03</v>
      </c>
      <c r="L21" s="20" t="s">
        <v>14</v>
      </c>
      <c r="M21" s="20" t="s">
        <v>37</v>
      </c>
      <c r="N21" s="20" t="s">
        <v>139</v>
      </c>
    </row>
    <row r="22" spans="1:14" ht="81.75" customHeight="1" thickBot="1">
      <c r="A22" s="20">
        <v>21</v>
      </c>
      <c r="B22" s="24">
        <f>VLOOKUP($A22,MINASA!$A$1:$BA$1000,10,FALSE)</f>
        <v>317824</v>
      </c>
      <c r="C22" s="20" t="str">
        <f t="shared" si="1"/>
        <v>317824</v>
      </c>
      <c r="D22" s="20" t="str">
        <f>VLOOKUP($A22,MINASA!$A$1:$BA$1000,27,FALSE)</f>
        <v>عبد الكريم</v>
      </c>
      <c r="E22" s="20" t="str">
        <f>VLOOKUP($A22,MINASA!$A$1:$BA$1000,26,FALSE)</f>
        <v>حاج سعيد</v>
      </c>
      <c r="F22" s="21">
        <f>VLOOKUP($A22,MINASA!$A$1:$BA$1000,30,FALSE)</f>
        <v>36154</v>
      </c>
      <c r="G22" s="20">
        <f>VLOOKUP($A22,MINASA!$A$1:$BA$1000,31,FALSE)</f>
        <v>0</v>
      </c>
      <c r="H22" s="20" t="str">
        <f>VLOOKUP($A22,MINASA!$A$1:$BA$1000,47,FALSE)</f>
        <v>كهرباء السيارات</v>
      </c>
      <c r="I22" s="21" t="str">
        <f>VLOOKUP($A22,MINASA!$A$1:$BA$1000,52,FALSE)</f>
        <v>2026-10-04</v>
      </c>
      <c r="J22" s="21" t="str">
        <f>VLOOKUP($A22,MINASA!$A$1:$BA$1000,53,FALSE)</f>
        <v>2027-10-03</v>
      </c>
      <c r="L22" s="20" t="s">
        <v>14</v>
      </c>
      <c r="M22" s="20" t="s">
        <v>38</v>
      </c>
      <c r="N22" s="20" t="s">
        <v>140</v>
      </c>
    </row>
    <row r="23" spans="1:14" ht="81.75" customHeight="1" thickBot="1">
      <c r="A23" s="20">
        <v>22</v>
      </c>
      <c r="B23" s="24">
        <f>VLOOKUP($A23,MINASA!$A$1:$BA$1000,10,FALSE)</f>
        <v>593914</v>
      </c>
      <c r="C23" s="20" t="str">
        <f t="shared" si="1"/>
        <v>593914</v>
      </c>
      <c r="D23" s="20" t="str">
        <f>VLOOKUP($A23,MINASA!$A$1:$BA$1000,27,FALSE)</f>
        <v>بن عيسى</v>
      </c>
      <c r="E23" s="20" t="str">
        <f>VLOOKUP($A23,MINASA!$A$1:$BA$1000,26,FALSE)</f>
        <v>بوشندوقة</v>
      </c>
      <c r="F23" s="21">
        <f>VLOOKUP($A23,MINASA!$A$1:$BA$1000,30,FALSE)</f>
        <v>38399</v>
      </c>
      <c r="G23" s="20">
        <f>VLOOKUP($A23,MINASA!$A$1:$BA$1000,31,FALSE)</f>
        <v>0</v>
      </c>
      <c r="H23" s="20" t="str">
        <f>VLOOKUP($A23,MINASA!$A$1:$BA$1000,47,FALSE)</f>
        <v xml:space="preserve"> عـامــــــل في الميكـــرو معلـوماتيـــة</v>
      </c>
      <c r="I23" s="21" t="str">
        <f>VLOOKUP($A23,MINASA!$A$1:$BA$1000,52,FALSE)</f>
        <v>2026-10-04</v>
      </c>
      <c r="J23" s="21" t="str">
        <f>VLOOKUP($A23,MINASA!$A$1:$BA$1000,53,FALSE)</f>
        <v>2028-04-03</v>
      </c>
      <c r="L23" s="20" t="s">
        <v>14</v>
      </c>
      <c r="M23" s="20" t="s">
        <v>39</v>
      </c>
      <c r="N23" s="20" t="s">
        <v>141</v>
      </c>
    </row>
    <row r="24" spans="1:14" ht="81.75" customHeight="1" thickBot="1">
      <c r="A24" s="20">
        <v>23</v>
      </c>
      <c r="B24" s="24">
        <f>VLOOKUP($A24,MINASA!$A$1:$BA$1000,10,FALSE)</f>
        <v>511099</v>
      </c>
      <c r="C24" s="20" t="str">
        <f t="shared" si="1"/>
        <v>511099</v>
      </c>
      <c r="D24" s="20" t="str">
        <f>VLOOKUP($A24,MINASA!$A$1:$BA$1000,27,FALSE)</f>
        <v>عبد الحليم</v>
      </c>
      <c r="E24" s="20" t="str">
        <f>VLOOKUP($A24,MINASA!$A$1:$BA$1000,26,FALSE)</f>
        <v>دوغة</v>
      </c>
      <c r="F24" s="21">
        <f>VLOOKUP($A24,MINASA!$A$1:$BA$1000,30,FALSE)</f>
        <v>39698</v>
      </c>
      <c r="G24" s="20">
        <f>VLOOKUP($A24,MINASA!$A$1:$BA$1000,31,FALSE)</f>
        <v>0</v>
      </c>
      <c r="H24" s="20" t="str">
        <f>VLOOKUP($A24,MINASA!$A$1:$BA$1000,47,FALSE)</f>
        <v xml:space="preserve"> عـامــــــل في الميكـــرو معلـوماتيـــة</v>
      </c>
      <c r="I24" s="21" t="str">
        <f>VLOOKUP($A24,MINASA!$A$1:$BA$1000,52,FALSE)</f>
        <v>2026-10-04</v>
      </c>
      <c r="J24" s="21" t="str">
        <f>VLOOKUP($A24,MINASA!$A$1:$BA$1000,53,FALSE)</f>
        <v>2028-04-03</v>
      </c>
      <c r="L24" s="20" t="s">
        <v>14</v>
      </c>
      <c r="M24" s="20" t="s">
        <v>40</v>
      </c>
      <c r="N24" s="20" t="s">
        <v>142</v>
      </c>
    </row>
    <row r="25" spans="1:14" ht="81.75" customHeight="1" thickBot="1">
      <c r="A25" s="20">
        <v>24</v>
      </c>
      <c r="B25" s="24">
        <f>VLOOKUP($A25,MINASA!$A$1:$BA$1000,10,FALSE)</f>
        <v>420293</v>
      </c>
      <c r="C25" s="20" t="str">
        <f t="shared" si="1"/>
        <v>420293</v>
      </c>
      <c r="D25" s="20" t="str">
        <f>VLOOKUP($A25,MINASA!$A$1:$BA$1000,27,FALSE)</f>
        <v>عبد النافع</v>
      </c>
      <c r="E25" s="20" t="str">
        <f>VLOOKUP($A25,MINASA!$A$1:$BA$1000,26,FALSE)</f>
        <v>كريكر</v>
      </c>
      <c r="F25" s="21">
        <f>VLOOKUP($A25,MINASA!$A$1:$BA$1000,30,FALSE)</f>
        <v>39820</v>
      </c>
      <c r="G25" s="20">
        <f>VLOOKUP($A25,MINASA!$A$1:$BA$1000,31,FALSE)</f>
        <v>0</v>
      </c>
      <c r="H25" s="20" t="str">
        <f>VLOOKUP($A25,MINASA!$A$1:$BA$1000,47,FALSE)</f>
        <v xml:space="preserve"> عـامــــــل في الميكـــرو معلـوماتيـــة</v>
      </c>
      <c r="I25" s="21" t="str">
        <f>VLOOKUP($A25,MINASA!$A$1:$BA$1000,52,FALSE)</f>
        <v>2026-10-04</v>
      </c>
      <c r="J25" s="21" t="str">
        <f>VLOOKUP($A25,MINASA!$A$1:$BA$1000,53,FALSE)</f>
        <v>2028-04-03</v>
      </c>
      <c r="L25" s="20" t="s">
        <v>14</v>
      </c>
      <c r="M25" s="20" t="s">
        <v>41</v>
      </c>
      <c r="N25" s="20" t="s">
        <v>143</v>
      </c>
    </row>
    <row r="26" spans="1:14" ht="81.75" customHeight="1" thickBot="1">
      <c r="A26" s="20">
        <v>25</v>
      </c>
      <c r="B26" s="24">
        <f>VLOOKUP($A26,MINASA!$A$1:$BA$1000,10,FALSE)</f>
        <v>134732</v>
      </c>
      <c r="C26" s="20" t="str">
        <f t="shared" si="1"/>
        <v>134732</v>
      </c>
      <c r="D26" s="20" t="str">
        <f>VLOOKUP($A26,MINASA!$A$1:$BA$1000,27,FALSE)</f>
        <v>عبد النور</v>
      </c>
      <c r="E26" s="20" t="str">
        <f>VLOOKUP($A26,MINASA!$A$1:$BA$1000,26,FALSE)</f>
        <v>حملاوي</v>
      </c>
      <c r="F26" s="21" t="str">
        <f>VLOOKUP($A26,MINASA!$A$1:$BA$1000,30,FALSE)</f>
        <v>07/10/2009</v>
      </c>
      <c r="G26" s="20" t="str">
        <f>VLOOKUP($A26,MINASA!$A$1:$BA$1000,31,FALSE)</f>
        <v>تقرت</v>
      </c>
      <c r="H26" s="20" t="str">
        <f>VLOOKUP($A26,MINASA!$A$1:$BA$1000,47,FALSE)</f>
        <v xml:space="preserve"> عـامــــــل في الميكـــرو معلـوماتيـــة</v>
      </c>
      <c r="I26" s="21" t="str">
        <f>VLOOKUP($A26,MINASA!$A$1:$BA$1000,52,FALSE)</f>
        <v>2026-10-04</v>
      </c>
      <c r="J26" s="21" t="str">
        <f>VLOOKUP($A26,MINASA!$A$1:$BA$1000,53,FALSE)</f>
        <v>2028-04-03</v>
      </c>
      <c r="L26" s="20" t="s">
        <v>14</v>
      </c>
      <c r="M26" s="20" t="s">
        <v>42</v>
      </c>
      <c r="N26" s="20" t="s">
        <v>144</v>
      </c>
    </row>
    <row r="27" spans="1:14" ht="81.75" customHeight="1" thickBot="1">
      <c r="A27" s="20">
        <v>26</v>
      </c>
      <c r="B27" s="24">
        <f>VLOOKUP($A27,MINASA!$A$1:$BA$1000,10,FALSE)</f>
        <v>400237</v>
      </c>
      <c r="C27" s="20" t="str">
        <f t="shared" si="1"/>
        <v>400237</v>
      </c>
      <c r="D27" s="20" t="str">
        <f>VLOOKUP($A27,MINASA!$A$1:$BA$1000,27,FALSE)</f>
        <v>محجوبة</v>
      </c>
      <c r="E27" s="20" t="str">
        <f>VLOOKUP($A27,MINASA!$A$1:$BA$1000,26,FALSE)</f>
        <v xml:space="preserve">بن قويدر </v>
      </c>
      <c r="F27" s="21">
        <f>VLOOKUP($A27,MINASA!$A$1:$BA$1000,30,FALSE)</f>
        <v>37945</v>
      </c>
      <c r="G27" s="20">
        <f>VLOOKUP($A27,MINASA!$A$1:$BA$1000,31,FALSE)</f>
        <v>0</v>
      </c>
      <c r="H27" s="20" t="str">
        <f>VLOOKUP($A27,MINASA!$A$1:$BA$1000,47,FALSE)</f>
        <v xml:space="preserve"> عـامــــــل في الميكـــرو معلـوماتيـــة</v>
      </c>
      <c r="I27" s="21" t="str">
        <f>VLOOKUP($A27,MINASA!$A$1:$BA$1000,52,FALSE)</f>
        <v>2026-10-04</v>
      </c>
      <c r="J27" s="21" t="str">
        <f>VLOOKUP($A27,MINASA!$A$1:$BA$1000,53,FALSE)</f>
        <v>2028-04-03</v>
      </c>
      <c r="L27" s="20" t="s">
        <v>14</v>
      </c>
      <c r="M27" s="20" t="s">
        <v>43</v>
      </c>
      <c r="N27" s="20" t="s">
        <v>145</v>
      </c>
    </row>
    <row r="28" spans="1:14" ht="81.75" customHeight="1" thickBot="1">
      <c r="A28" s="20">
        <v>27</v>
      </c>
      <c r="B28" s="24">
        <f>VLOOKUP($A28,MINASA!$A$1:$BA$1000,10,FALSE)</f>
        <v>657280</v>
      </c>
      <c r="C28" s="20" t="str">
        <f t="shared" si="1"/>
        <v>657280</v>
      </c>
      <c r="D28" s="20" t="str">
        <f>VLOOKUP($A28,MINASA!$A$1:$BA$1000,27,FALSE)</f>
        <v>غزلان</v>
      </c>
      <c r="E28" s="20" t="str">
        <f>VLOOKUP($A28,MINASA!$A$1:$BA$1000,26,FALSE)</f>
        <v>بالهاني</v>
      </c>
      <c r="F28" s="21" t="str">
        <f>VLOOKUP($A28,MINASA!$A$1:$BA$1000,30,FALSE)</f>
        <v>10/06/2006</v>
      </c>
      <c r="G28" s="20" t="str">
        <f>VLOOKUP($A28,MINASA!$A$1:$BA$1000,31,FALSE)</f>
        <v>النزلة</v>
      </c>
      <c r="H28" s="20" t="str">
        <f>VLOOKUP($A28,MINASA!$A$1:$BA$1000,47,FALSE)</f>
        <v xml:space="preserve"> عـامــــــل في الميكـــرو معلـوماتيـــة</v>
      </c>
      <c r="I28" s="21" t="str">
        <f>VLOOKUP($A28,MINASA!$A$1:$BA$1000,52,FALSE)</f>
        <v>2026-10-04</v>
      </c>
      <c r="J28" s="21" t="str">
        <f>VLOOKUP($A28,MINASA!$A$1:$BA$1000,53,FALSE)</f>
        <v>2028-04-03</v>
      </c>
      <c r="L28" s="20" t="s">
        <v>14</v>
      </c>
      <c r="M28" s="20" t="s">
        <v>44</v>
      </c>
      <c r="N28" s="20" t="s">
        <v>146</v>
      </c>
    </row>
    <row r="29" spans="1:14" ht="81.75" customHeight="1" thickBot="1">
      <c r="A29" s="20">
        <v>28</v>
      </c>
      <c r="B29" s="24">
        <f>VLOOKUP($A29,MINASA!$A$1:$BA$1000,10,FALSE)</f>
        <v>109417</v>
      </c>
      <c r="C29" s="20" t="str">
        <f t="shared" si="1"/>
        <v>109417</v>
      </c>
      <c r="D29" s="20" t="str">
        <f>VLOOKUP($A29,MINASA!$A$1:$BA$1000,27,FALSE)</f>
        <v>سمر</v>
      </c>
      <c r="E29" s="20" t="str">
        <f>VLOOKUP($A29,MINASA!$A$1:$BA$1000,26,FALSE)</f>
        <v>غياط</v>
      </c>
      <c r="F29" s="21" t="str">
        <f>VLOOKUP($A29,MINASA!$A$1:$BA$1000,30,FALSE)</f>
        <v>10/05/2007</v>
      </c>
      <c r="G29" s="20" t="str">
        <f>VLOOKUP($A29,MINASA!$A$1:$BA$1000,31,FALSE)</f>
        <v>تبسبست</v>
      </c>
      <c r="H29" s="20" t="str">
        <f>VLOOKUP($A29,MINASA!$A$1:$BA$1000,47,FALSE)</f>
        <v xml:space="preserve"> عـامــــــل في الميكـــرو معلـوماتيـــة</v>
      </c>
      <c r="I29" s="21" t="str">
        <f>VLOOKUP($A29,MINASA!$A$1:$BA$1000,52,FALSE)</f>
        <v>2026-10-04</v>
      </c>
      <c r="J29" s="21" t="str">
        <f>VLOOKUP($A29,MINASA!$A$1:$BA$1000,53,FALSE)</f>
        <v>2028-04-03</v>
      </c>
      <c r="L29" s="20" t="s">
        <v>14</v>
      </c>
      <c r="M29" s="20" t="s">
        <v>45</v>
      </c>
      <c r="N29" s="20" t="s">
        <v>147</v>
      </c>
    </row>
    <row r="30" spans="1:14" ht="81.75" customHeight="1" thickBot="1">
      <c r="A30" s="20">
        <v>29</v>
      </c>
      <c r="B30" s="24">
        <f>VLOOKUP($A30,MINASA!$A$1:$BA$1000,10,FALSE)</f>
        <v>142476</v>
      </c>
      <c r="C30" s="20" t="str">
        <f t="shared" si="1"/>
        <v>142476</v>
      </c>
      <c r="D30" s="20" t="str">
        <f>VLOOKUP($A30,MINASA!$A$1:$BA$1000,27,FALSE)</f>
        <v>هديل</v>
      </c>
      <c r="E30" s="20" t="str">
        <f>VLOOKUP($A30,MINASA!$A$1:$BA$1000,26,FALSE)</f>
        <v>خياط</v>
      </c>
      <c r="F30" s="21" t="str">
        <f>VLOOKUP($A30,MINASA!$A$1:$BA$1000,30,FALSE)</f>
        <v>26/10/2007</v>
      </c>
      <c r="G30" s="20" t="str">
        <f>VLOOKUP($A30,MINASA!$A$1:$BA$1000,31,FALSE)</f>
        <v>الزاوية العابدية</v>
      </c>
      <c r="H30" s="20" t="str">
        <f>VLOOKUP($A30,MINASA!$A$1:$BA$1000,47,FALSE)</f>
        <v xml:space="preserve"> عـامــــــل في الميكـــرو معلـوماتيـــة</v>
      </c>
      <c r="I30" s="21" t="str">
        <f>VLOOKUP($A30,MINASA!$A$1:$BA$1000,52,FALSE)</f>
        <v>2026-10-04</v>
      </c>
      <c r="J30" s="21" t="str">
        <f>VLOOKUP($A30,MINASA!$A$1:$BA$1000,53,FALSE)</f>
        <v>2028-04-03</v>
      </c>
      <c r="L30" s="20" t="s">
        <v>14</v>
      </c>
      <c r="M30" s="20" t="s">
        <v>46</v>
      </c>
      <c r="N30" s="20" t="s">
        <v>148</v>
      </c>
    </row>
    <row r="31" spans="1:14" ht="81.75" customHeight="1" thickBot="1">
      <c r="A31" s="20">
        <v>30</v>
      </c>
      <c r="B31" s="24">
        <f>VLOOKUP($A31,MINASA!$A$1:$BA$1000,10,FALSE)</f>
        <v>565798</v>
      </c>
      <c r="C31" s="20" t="str">
        <f t="shared" si="1"/>
        <v>565798</v>
      </c>
      <c r="D31" s="20" t="str">
        <f>VLOOKUP($A31,MINASA!$A$1:$BA$1000,27,FALSE)</f>
        <v>شيماء</v>
      </c>
      <c r="E31" s="20" t="str">
        <f>VLOOKUP($A31,MINASA!$A$1:$BA$1000,26,FALSE)</f>
        <v>صايم</v>
      </c>
      <c r="F31" s="21">
        <f>VLOOKUP($A31,MINASA!$A$1:$BA$1000,30,FALSE)</f>
        <v>39499</v>
      </c>
      <c r="G31" s="20">
        <f>VLOOKUP($A31,MINASA!$A$1:$BA$1000,31,FALSE)</f>
        <v>0</v>
      </c>
      <c r="H31" s="20" t="str">
        <f>VLOOKUP($A31,MINASA!$A$1:$BA$1000,47,FALSE)</f>
        <v xml:space="preserve"> عـامــــــل في الميكـــرو معلـوماتيـــة</v>
      </c>
      <c r="I31" s="21" t="str">
        <f>VLOOKUP($A31,MINASA!$A$1:$BA$1000,52,FALSE)</f>
        <v>2026-10-04</v>
      </c>
      <c r="J31" s="21" t="str">
        <f>VLOOKUP($A31,MINASA!$A$1:$BA$1000,53,FALSE)</f>
        <v>2028-04-03</v>
      </c>
      <c r="L31" s="20" t="s">
        <v>14</v>
      </c>
      <c r="M31" s="20" t="s">
        <v>47</v>
      </c>
      <c r="N31" s="20" t="s">
        <v>149</v>
      </c>
    </row>
    <row r="32" spans="1:14" ht="81.75" customHeight="1" thickBot="1">
      <c r="A32" s="20">
        <v>31</v>
      </c>
      <c r="B32" s="24">
        <f>VLOOKUP($A32,MINASA!$A$1:$BA$1000,10,FALSE)</f>
        <v>365063</v>
      </c>
      <c r="C32" s="20" t="str">
        <f t="shared" si="1"/>
        <v>365063</v>
      </c>
      <c r="D32" s="20" t="str">
        <f>VLOOKUP($A32,MINASA!$A$1:$BA$1000,27,FALSE)</f>
        <v>ماريا</v>
      </c>
      <c r="E32" s="20" t="str">
        <f>VLOOKUP($A32,MINASA!$A$1:$BA$1000,26,FALSE)</f>
        <v xml:space="preserve">ريغي </v>
      </c>
      <c r="F32" s="21">
        <f>VLOOKUP($A32,MINASA!$A$1:$BA$1000,30,FALSE)</f>
        <v>39576</v>
      </c>
      <c r="G32" s="20">
        <f>VLOOKUP($A32,MINASA!$A$1:$BA$1000,31,FALSE)</f>
        <v>0</v>
      </c>
      <c r="H32" s="20" t="str">
        <f>VLOOKUP($A32,MINASA!$A$1:$BA$1000,47,FALSE)</f>
        <v xml:space="preserve"> عـامــــــل في الميكـــرو معلـوماتيـــة</v>
      </c>
      <c r="I32" s="21" t="str">
        <f>VLOOKUP($A32,MINASA!$A$1:$BA$1000,52,FALSE)</f>
        <v>2026-10-04</v>
      </c>
      <c r="J32" s="21" t="str">
        <f>VLOOKUP($A32,MINASA!$A$1:$BA$1000,53,FALSE)</f>
        <v>2028-04-03</v>
      </c>
      <c r="L32" s="20" t="s">
        <v>14</v>
      </c>
      <c r="M32" s="20" t="s">
        <v>48</v>
      </c>
      <c r="N32" s="20" t="s">
        <v>150</v>
      </c>
    </row>
    <row r="33" spans="1:14" ht="81.75" customHeight="1" thickBot="1">
      <c r="A33" s="20">
        <v>32</v>
      </c>
      <c r="B33" s="24">
        <f>VLOOKUP($A33,MINASA!$A$1:$BA$1000,10,FALSE)</f>
        <v>312641</v>
      </c>
      <c r="C33" s="20" t="str">
        <f t="shared" si="1"/>
        <v>312641</v>
      </c>
      <c r="D33" s="20" t="str">
        <f>VLOOKUP($A33,MINASA!$A$1:$BA$1000,27,FALSE)</f>
        <v>إزدهار</v>
      </c>
      <c r="E33" s="20" t="str">
        <f>VLOOKUP($A33,MINASA!$A$1:$BA$1000,26,FALSE)</f>
        <v>باباعربي</v>
      </c>
      <c r="F33" s="21" t="str">
        <f>VLOOKUP($A33,MINASA!$A$1:$BA$1000,30,FALSE)</f>
        <v>11/02/2008</v>
      </c>
      <c r="G33" s="20" t="str">
        <f>VLOOKUP($A33,MINASA!$A$1:$BA$1000,31,FALSE)</f>
        <v>الزاوية العابدية</v>
      </c>
      <c r="H33" s="20" t="str">
        <f>VLOOKUP($A33,MINASA!$A$1:$BA$1000,47,FALSE)</f>
        <v xml:space="preserve"> عـامــــــل في الميكـــرو معلـوماتيـــة</v>
      </c>
      <c r="I33" s="21" t="str">
        <f>VLOOKUP($A33,MINASA!$A$1:$BA$1000,52,FALSE)</f>
        <v>2026-10-04</v>
      </c>
      <c r="J33" s="21" t="str">
        <f>VLOOKUP($A33,MINASA!$A$1:$BA$1000,53,FALSE)</f>
        <v>2028-04-03</v>
      </c>
      <c r="L33" s="20" t="s">
        <v>14</v>
      </c>
      <c r="M33" s="20" t="s">
        <v>49</v>
      </c>
      <c r="N33" s="20" t="s">
        <v>151</v>
      </c>
    </row>
    <row r="34" spans="1:14" ht="81.75" customHeight="1" thickBot="1">
      <c r="A34" s="20">
        <v>33</v>
      </c>
      <c r="B34" s="24">
        <f>VLOOKUP($A34,MINASA!$A$1:$BA$1000,10,FALSE)</f>
        <v>321524</v>
      </c>
      <c r="C34" s="20" t="str">
        <f t="shared" si="1"/>
        <v>321524</v>
      </c>
      <c r="D34" s="20" t="str">
        <f>VLOOKUP($A34,MINASA!$A$1:$BA$1000,27,FALSE)</f>
        <v>سجود</v>
      </c>
      <c r="E34" s="20" t="str">
        <f>VLOOKUP($A34,MINASA!$A$1:$BA$1000,26,FALSE)</f>
        <v>العابد</v>
      </c>
      <c r="F34" s="21">
        <f>VLOOKUP($A34,MINASA!$A$1:$BA$1000,30,FALSE)</f>
        <v>39757</v>
      </c>
      <c r="G34" s="20">
        <f>VLOOKUP($A34,MINASA!$A$1:$BA$1000,31,FALSE)</f>
        <v>0</v>
      </c>
      <c r="H34" s="20" t="str">
        <f>VLOOKUP($A34,MINASA!$A$1:$BA$1000,47,FALSE)</f>
        <v xml:space="preserve"> عـامــــــل في الميكـــرو معلـوماتيـــة</v>
      </c>
      <c r="I34" s="21" t="str">
        <f>VLOOKUP($A34,MINASA!$A$1:$BA$1000,52,FALSE)</f>
        <v>2026-10-04</v>
      </c>
      <c r="J34" s="21" t="str">
        <f>VLOOKUP($A34,MINASA!$A$1:$BA$1000,53,FALSE)</f>
        <v>2028-04-03</v>
      </c>
      <c r="L34" s="20" t="s">
        <v>14</v>
      </c>
      <c r="M34" s="20" t="s">
        <v>50</v>
      </c>
      <c r="N34" s="20" t="s">
        <v>152</v>
      </c>
    </row>
    <row r="35" spans="1:14" ht="81.75" customHeight="1" thickBot="1">
      <c r="A35" s="20">
        <v>34</v>
      </c>
      <c r="B35" s="24">
        <f>VLOOKUP($A35,MINASA!$A$1:$BA$1000,10,FALSE)</f>
        <v>341001</v>
      </c>
      <c r="C35" s="20" t="str">
        <f t="shared" si="1"/>
        <v>341001</v>
      </c>
      <c r="D35" s="20" t="str">
        <f>VLOOKUP($A35,MINASA!$A$1:$BA$1000,27,FALSE)</f>
        <v>سعاد</v>
      </c>
      <c r="E35" s="20" t="str">
        <f>VLOOKUP($A35,MINASA!$A$1:$BA$1000,26,FALSE)</f>
        <v>غويني</v>
      </c>
      <c r="F35" s="21">
        <f>VLOOKUP($A35,MINASA!$A$1:$BA$1000,30,FALSE)</f>
        <v>39809</v>
      </c>
      <c r="G35" s="20">
        <f>VLOOKUP($A35,MINASA!$A$1:$BA$1000,31,FALSE)</f>
        <v>0</v>
      </c>
      <c r="H35" s="20" t="str">
        <f>VLOOKUP($A35,MINASA!$A$1:$BA$1000,47,FALSE)</f>
        <v xml:space="preserve"> عـامــــــل في الميكـــرو معلـوماتيـــة</v>
      </c>
      <c r="I35" s="21" t="str">
        <f>VLOOKUP($A35,MINASA!$A$1:$BA$1000,52,FALSE)</f>
        <v>2026-10-04</v>
      </c>
      <c r="J35" s="21" t="str">
        <f>VLOOKUP($A35,MINASA!$A$1:$BA$1000,53,FALSE)</f>
        <v>2028-04-03</v>
      </c>
      <c r="L35" s="20" t="s">
        <v>14</v>
      </c>
      <c r="M35" s="20" t="s">
        <v>51</v>
      </c>
      <c r="N35" s="20" t="s">
        <v>153</v>
      </c>
    </row>
    <row r="36" spans="1:14" ht="81.75" customHeight="1" thickBot="1">
      <c r="A36" s="20">
        <v>35</v>
      </c>
      <c r="B36" s="24">
        <f>VLOOKUP($A36,MINASA!$A$1:$BA$1000,10,FALSE)</f>
        <v>566433</v>
      </c>
      <c r="C36" s="20" t="str">
        <f t="shared" si="1"/>
        <v>566433</v>
      </c>
      <c r="D36" s="20" t="str">
        <f>VLOOKUP($A36,MINASA!$A$1:$BA$1000,27,FALSE)</f>
        <v>امينة</v>
      </c>
      <c r="E36" s="20" t="str">
        <f>VLOOKUP($A36,MINASA!$A$1:$BA$1000,26,FALSE)</f>
        <v>عرعار</v>
      </c>
      <c r="F36" s="21">
        <f>VLOOKUP($A36,MINASA!$A$1:$BA$1000,30,FALSE)</f>
        <v>39871</v>
      </c>
      <c r="G36" s="20">
        <f>VLOOKUP($A36,MINASA!$A$1:$BA$1000,31,FALSE)</f>
        <v>0</v>
      </c>
      <c r="H36" s="20" t="str">
        <f>VLOOKUP($A36,MINASA!$A$1:$BA$1000,47,FALSE)</f>
        <v xml:space="preserve"> عـامــــــل في الميكـــرو معلـوماتيـــة</v>
      </c>
      <c r="I36" s="21" t="str">
        <f>VLOOKUP($A36,MINASA!$A$1:$BA$1000,52,FALSE)</f>
        <v>2026-10-04</v>
      </c>
      <c r="J36" s="21" t="str">
        <f>VLOOKUP($A36,MINASA!$A$1:$BA$1000,53,FALSE)</f>
        <v>2028-04-03</v>
      </c>
      <c r="L36" s="20" t="s">
        <v>14</v>
      </c>
      <c r="M36" s="20" t="s">
        <v>52</v>
      </c>
      <c r="N36" s="20" t="s">
        <v>154</v>
      </c>
    </row>
    <row r="37" spans="1:14" ht="81.75" customHeight="1" thickBot="1">
      <c r="A37" s="20">
        <v>36</v>
      </c>
      <c r="B37" s="24">
        <f>VLOOKUP($A37,MINASA!$A$1:$BA$1000,10,FALSE)</f>
        <v>60393</v>
      </c>
      <c r="C37" s="20" t="str">
        <f t="shared" si="1"/>
        <v>60393</v>
      </c>
      <c r="D37" s="20" t="str">
        <f>VLOOKUP($A37,MINASA!$A$1:$BA$1000,27,FALSE)</f>
        <v>فاطمه الزهراء</v>
      </c>
      <c r="E37" s="20" t="str">
        <f>VLOOKUP($A37,MINASA!$A$1:$BA$1000,26,FALSE)</f>
        <v>بوليفة</v>
      </c>
      <c r="F37" s="21" t="str">
        <f>VLOOKUP($A37,MINASA!$A$1:$BA$1000,30,FALSE)</f>
        <v>03/01/2009</v>
      </c>
      <c r="G37" s="20" t="str">
        <f>VLOOKUP($A37,MINASA!$A$1:$BA$1000,31,FALSE)</f>
        <v>مقر</v>
      </c>
      <c r="H37" s="20" t="str">
        <f>VLOOKUP($A37,MINASA!$A$1:$BA$1000,47,FALSE)</f>
        <v xml:space="preserve"> عـامــــــل في الميكـــرو معلـوماتيـــة</v>
      </c>
      <c r="I37" s="21" t="str">
        <f>VLOOKUP($A37,MINASA!$A$1:$BA$1000,52,FALSE)</f>
        <v>2026-10-04</v>
      </c>
      <c r="J37" s="21" t="str">
        <f>VLOOKUP($A37,MINASA!$A$1:$BA$1000,53,FALSE)</f>
        <v>2028-04-03</v>
      </c>
      <c r="L37" s="20" t="s">
        <v>14</v>
      </c>
      <c r="M37" s="20" t="s">
        <v>53</v>
      </c>
      <c r="N37" s="20" t="s">
        <v>155</v>
      </c>
    </row>
    <row r="38" spans="1:14" ht="81.75" customHeight="1" thickBot="1">
      <c r="A38" s="20">
        <v>37</v>
      </c>
      <c r="B38" s="24">
        <f>VLOOKUP($A38,MINASA!$A$1:$BA$1000,10,FALSE)</f>
        <v>723144</v>
      </c>
      <c r="C38" s="20" t="str">
        <f t="shared" si="1"/>
        <v>723144</v>
      </c>
      <c r="D38" s="20" t="str">
        <f>VLOOKUP($A38,MINASA!$A$1:$BA$1000,27,FALSE)</f>
        <v>نور الهدى</v>
      </c>
      <c r="E38" s="20" t="str">
        <f>VLOOKUP($A38,MINASA!$A$1:$BA$1000,26,FALSE)</f>
        <v>دوغة</v>
      </c>
      <c r="F38" s="21">
        <f>VLOOKUP($A38,MINASA!$A$1:$BA$1000,30,FALSE)</f>
        <v>39951</v>
      </c>
      <c r="G38" s="20">
        <f>VLOOKUP($A38,MINASA!$A$1:$BA$1000,31,FALSE)</f>
        <v>0</v>
      </c>
      <c r="H38" s="20" t="str">
        <f>VLOOKUP($A38,MINASA!$A$1:$BA$1000,47,FALSE)</f>
        <v xml:space="preserve"> عـامــــــل في الميكـــرو معلـوماتيـــة</v>
      </c>
      <c r="I38" s="21" t="str">
        <f>VLOOKUP($A38,MINASA!$A$1:$BA$1000,52,FALSE)</f>
        <v>2026-10-04</v>
      </c>
      <c r="J38" s="21" t="str">
        <f>VLOOKUP($A38,MINASA!$A$1:$BA$1000,53,FALSE)</f>
        <v>2028-04-03</v>
      </c>
      <c r="L38" s="20" t="s">
        <v>14</v>
      </c>
      <c r="M38" s="20" t="s">
        <v>54</v>
      </c>
      <c r="N38" s="20" t="s">
        <v>156</v>
      </c>
    </row>
    <row r="39" spans="1:14" ht="81.75" customHeight="1" thickBot="1">
      <c r="A39" s="20">
        <v>38</v>
      </c>
      <c r="B39" s="24">
        <f>VLOOKUP($A39,MINASA!$A$1:$BA$1000,10,FALSE)</f>
        <v>699416</v>
      </c>
      <c r="C39" s="20" t="str">
        <f t="shared" si="1"/>
        <v>699416</v>
      </c>
      <c r="D39" s="20" t="str">
        <f>VLOOKUP($A39,MINASA!$A$1:$BA$1000,27,FALSE)</f>
        <v>منال</v>
      </c>
      <c r="E39" s="20" t="str">
        <f>VLOOKUP($A39,MINASA!$A$1:$BA$1000,26,FALSE)</f>
        <v>بوشندوقة</v>
      </c>
      <c r="F39" s="21">
        <f>VLOOKUP($A39,MINASA!$A$1:$BA$1000,30,FALSE)</f>
        <v>39798</v>
      </c>
      <c r="G39" s="20">
        <f>VLOOKUP($A39,MINASA!$A$1:$BA$1000,31,FALSE)</f>
        <v>0</v>
      </c>
      <c r="H39" s="20" t="str">
        <f>VLOOKUP($A39,MINASA!$A$1:$BA$1000,47,FALSE)</f>
        <v>الطرز</v>
      </c>
      <c r="I39" s="21" t="str">
        <f>VLOOKUP($A39,MINASA!$A$1:$BA$1000,52,FALSE)</f>
        <v>2026-10-04</v>
      </c>
      <c r="J39" s="21" t="str">
        <f>VLOOKUP($A39,MINASA!$A$1:$BA$1000,53,FALSE)</f>
        <v>2027-10-03</v>
      </c>
      <c r="L39" s="20" t="s">
        <v>14</v>
      </c>
      <c r="M39" s="20" t="s">
        <v>55</v>
      </c>
      <c r="N39" s="20" t="s">
        <v>157</v>
      </c>
    </row>
    <row r="40" spans="1:14" ht="81.75" customHeight="1" thickBot="1">
      <c r="A40" s="20">
        <v>39</v>
      </c>
      <c r="B40" s="24">
        <f>VLOOKUP($A40,MINASA!$A$1:$BA$1000,10,FALSE)</f>
        <v>756385</v>
      </c>
      <c r="C40" s="20" t="str">
        <f t="shared" si="1"/>
        <v>756385</v>
      </c>
      <c r="D40" s="20" t="str">
        <f>VLOOKUP($A40,MINASA!$A$1:$BA$1000,27,FALSE)</f>
        <v>الزهرة</v>
      </c>
      <c r="E40" s="20" t="str">
        <f>VLOOKUP($A40,MINASA!$A$1:$BA$1000,26,FALSE)</f>
        <v>قمو</v>
      </c>
      <c r="F40" s="21">
        <f>VLOOKUP($A40,MINASA!$A$1:$BA$1000,30,FALSE)</f>
        <v>39847</v>
      </c>
      <c r="G40" s="20">
        <f>VLOOKUP($A40,MINASA!$A$1:$BA$1000,31,FALSE)</f>
        <v>0</v>
      </c>
      <c r="H40" s="20" t="str">
        <f>VLOOKUP($A40,MINASA!$A$1:$BA$1000,47,FALSE)</f>
        <v>الطرز</v>
      </c>
      <c r="I40" s="21" t="str">
        <f>VLOOKUP($A40,MINASA!$A$1:$BA$1000,52,FALSE)</f>
        <v>2026-10-04</v>
      </c>
      <c r="J40" s="21" t="str">
        <f>VLOOKUP($A40,MINASA!$A$1:$BA$1000,53,FALSE)</f>
        <v>2027-10-03</v>
      </c>
      <c r="L40" s="20" t="s">
        <v>14</v>
      </c>
      <c r="M40" s="20" t="s">
        <v>56</v>
      </c>
      <c r="N40" s="20" t="s">
        <v>158</v>
      </c>
    </row>
    <row r="41" spans="1:14" ht="81.75" customHeight="1" thickBot="1">
      <c r="A41" s="20">
        <v>40</v>
      </c>
      <c r="B41" s="24">
        <f>VLOOKUP($A41,MINASA!$A$1:$BA$1000,10,FALSE)</f>
        <v>245155</v>
      </c>
      <c r="C41" s="20" t="str">
        <f t="shared" si="1"/>
        <v>245155</v>
      </c>
      <c r="D41" s="20" t="str">
        <f>VLOOKUP($A41,MINASA!$A$1:$BA$1000,27,FALSE)</f>
        <v>ساره</v>
      </c>
      <c r="E41" s="20" t="str">
        <f>VLOOKUP($A41,MINASA!$A$1:$BA$1000,26,FALSE)</f>
        <v>بن نونه</v>
      </c>
      <c r="F41" s="21" t="str">
        <f>VLOOKUP($A41,MINASA!$A$1:$BA$1000,30,FALSE)</f>
        <v>02/04/2009</v>
      </c>
      <c r="G41" s="20" t="str">
        <f>VLOOKUP($A41,MINASA!$A$1:$BA$1000,31,FALSE)</f>
        <v>الزاوية العابدية</v>
      </c>
      <c r="H41" s="20" t="str">
        <f>VLOOKUP($A41,MINASA!$A$1:$BA$1000,47,FALSE)</f>
        <v>الطرز</v>
      </c>
      <c r="I41" s="21" t="str">
        <f>VLOOKUP($A41,MINASA!$A$1:$BA$1000,52,FALSE)</f>
        <v>2026-10-04</v>
      </c>
      <c r="J41" s="21" t="str">
        <f>VLOOKUP($A41,MINASA!$A$1:$BA$1000,53,FALSE)</f>
        <v>2027-10-03</v>
      </c>
      <c r="L41" s="20" t="s">
        <v>14</v>
      </c>
      <c r="M41" s="20" t="s">
        <v>57</v>
      </c>
      <c r="N41" s="20" t="s">
        <v>159</v>
      </c>
    </row>
    <row r="42" spans="1:14" ht="81.75" customHeight="1" thickBot="1">
      <c r="A42" s="20">
        <v>41</v>
      </c>
      <c r="B42" s="24">
        <f>VLOOKUP($A42,MINASA!$A$1:$BA$1000,10,FALSE)</f>
        <v>386519</v>
      </c>
      <c r="C42" s="20" t="str">
        <f t="shared" si="1"/>
        <v>386519</v>
      </c>
      <c r="D42" s="20" t="str">
        <f>VLOOKUP($A42,MINASA!$A$1:$BA$1000,27,FALSE)</f>
        <v>انوار</v>
      </c>
      <c r="E42" s="20" t="str">
        <f>VLOOKUP($A42,MINASA!$A$1:$BA$1000,26,FALSE)</f>
        <v>عيساني</v>
      </c>
      <c r="F42" s="21">
        <f>VLOOKUP($A42,MINASA!$A$1:$BA$1000,30,FALSE)</f>
        <v>39999</v>
      </c>
      <c r="G42" s="20">
        <f>VLOOKUP($A42,MINASA!$A$1:$BA$1000,31,FALSE)</f>
        <v>0</v>
      </c>
      <c r="H42" s="20" t="str">
        <f>VLOOKUP($A42,MINASA!$A$1:$BA$1000,47,FALSE)</f>
        <v>الطرز</v>
      </c>
      <c r="I42" s="21" t="str">
        <f>VLOOKUP($A42,MINASA!$A$1:$BA$1000,52,FALSE)</f>
        <v>2026-10-04</v>
      </c>
      <c r="J42" s="21" t="str">
        <f>VLOOKUP($A42,MINASA!$A$1:$BA$1000,53,FALSE)</f>
        <v>2027-10-03</v>
      </c>
      <c r="L42" s="20" t="s">
        <v>14</v>
      </c>
      <c r="M42" s="20" t="s">
        <v>58</v>
      </c>
      <c r="N42" s="20" t="s">
        <v>160</v>
      </c>
    </row>
    <row r="43" spans="1:14" ht="81.75" customHeight="1" thickBot="1">
      <c r="A43" s="20">
        <v>42</v>
      </c>
      <c r="B43" s="24">
        <f>VLOOKUP($A43,MINASA!$A$1:$BA$1000,10,FALSE)</f>
        <v>652070</v>
      </c>
      <c r="C43" s="20" t="str">
        <f t="shared" si="1"/>
        <v>652070</v>
      </c>
      <c r="D43" s="20" t="str">
        <f>VLOOKUP($A43,MINASA!$A$1:$BA$1000,27,FALSE)</f>
        <v>ماريا</v>
      </c>
      <c r="E43" s="20" t="str">
        <f>VLOOKUP($A43,MINASA!$A$1:$BA$1000,26,FALSE)</f>
        <v xml:space="preserve">مزرقط </v>
      </c>
      <c r="F43" s="21">
        <f>VLOOKUP($A43,MINASA!$A$1:$BA$1000,30,FALSE)</f>
        <v>39856</v>
      </c>
      <c r="G43" s="20">
        <f>VLOOKUP($A43,MINASA!$A$1:$BA$1000,31,FALSE)</f>
        <v>0</v>
      </c>
      <c r="H43" s="20" t="str">
        <f>VLOOKUP($A43,MINASA!$A$1:$BA$1000,47,FALSE)</f>
        <v>الطرز</v>
      </c>
      <c r="I43" s="21" t="str">
        <f>VLOOKUP($A43,MINASA!$A$1:$BA$1000,52,FALSE)</f>
        <v>2026-10-04</v>
      </c>
      <c r="J43" s="21" t="str">
        <f>VLOOKUP($A43,MINASA!$A$1:$BA$1000,53,FALSE)</f>
        <v>2027-10-03</v>
      </c>
      <c r="L43" s="20" t="s">
        <v>14</v>
      </c>
      <c r="M43" s="20" t="s">
        <v>59</v>
      </c>
      <c r="N43" s="20" t="s">
        <v>161</v>
      </c>
    </row>
    <row r="44" spans="1:14" ht="81.75" customHeight="1" thickBot="1">
      <c r="A44" s="20">
        <v>43</v>
      </c>
      <c r="B44" s="24">
        <f>VLOOKUP($A44,MINASA!$A$1:$BA$1000,10,FALSE)</f>
        <v>474400</v>
      </c>
      <c r="C44" s="20" t="str">
        <f t="shared" si="1"/>
        <v>474400</v>
      </c>
      <c r="D44" s="20" t="str">
        <f>VLOOKUP($A44,MINASA!$A$1:$BA$1000,27,FALSE)</f>
        <v>علي</v>
      </c>
      <c r="E44" s="20" t="str">
        <f>VLOOKUP($A44,MINASA!$A$1:$BA$1000,26,FALSE)</f>
        <v>الأعور</v>
      </c>
      <c r="F44" s="21">
        <f>VLOOKUP($A44,MINASA!$A$1:$BA$1000,30,FALSE)</f>
        <v>39356</v>
      </c>
      <c r="G44" s="20">
        <f>VLOOKUP($A44,MINASA!$A$1:$BA$1000,31,FALSE)</f>
        <v>0</v>
      </c>
      <c r="H44" s="20" t="str">
        <f>VLOOKUP($A44,MINASA!$A$1:$BA$1000,47,FALSE)</f>
        <v>التركيب الصحي</v>
      </c>
      <c r="I44" s="21" t="str">
        <f>VLOOKUP($A44,MINASA!$A$1:$BA$1000,52,FALSE)</f>
        <v>2026-10-04</v>
      </c>
      <c r="J44" s="21" t="str">
        <f>VLOOKUP($A44,MINASA!$A$1:$BA$1000,53,FALSE)</f>
        <v>2027-10-03</v>
      </c>
      <c r="L44" s="20" t="s">
        <v>14</v>
      </c>
      <c r="M44" s="20" t="s">
        <v>60</v>
      </c>
      <c r="N44" s="20" t="s">
        <v>162</v>
      </c>
    </row>
    <row r="45" spans="1:14" ht="81.75" customHeight="1" thickBot="1">
      <c r="A45" s="20">
        <v>44</v>
      </c>
      <c r="B45" s="24">
        <f>VLOOKUP($A45,MINASA!$A$1:$BA$1000,10,FALSE)</f>
        <v>741693</v>
      </c>
      <c r="C45" s="20" t="str">
        <f t="shared" si="1"/>
        <v>741693</v>
      </c>
      <c r="D45" s="20" t="str">
        <f>VLOOKUP($A45,MINASA!$A$1:$BA$1000,27,FALSE)</f>
        <v>محمد نضال</v>
      </c>
      <c r="E45" s="20" t="str">
        <f>VLOOKUP($A45,MINASA!$A$1:$BA$1000,26,FALSE)</f>
        <v>ابي ميلود</v>
      </c>
      <c r="F45" s="21">
        <f>VLOOKUP($A45,MINASA!$A$1:$BA$1000,30,FALSE)</f>
        <v>39725</v>
      </c>
      <c r="G45" s="20">
        <f>VLOOKUP($A45,MINASA!$A$1:$BA$1000,31,FALSE)</f>
        <v>0</v>
      </c>
      <c r="H45" s="20" t="str">
        <f>VLOOKUP($A45,MINASA!$A$1:$BA$1000,47,FALSE)</f>
        <v>التركيب الصحي</v>
      </c>
      <c r="I45" s="21" t="str">
        <f>VLOOKUP($A45,MINASA!$A$1:$BA$1000,52,FALSE)</f>
        <v>2026-10-04</v>
      </c>
      <c r="J45" s="21" t="str">
        <f>VLOOKUP($A45,MINASA!$A$1:$BA$1000,53,FALSE)</f>
        <v>2027-10-03</v>
      </c>
      <c r="L45" s="20" t="s">
        <v>14</v>
      </c>
      <c r="M45" s="20" t="s">
        <v>61</v>
      </c>
      <c r="N45" s="20" t="s">
        <v>163</v>
      </c>
    </row>
    <row r="46" spans="1:14" ht="81.75" customHeight="1" thickBot="1">
      <c r="A46" s="20">
        <v>45</v>
      </c>
      <c r="B46" s="24">
        <f>VLOOKUP($A46,MINASA!$A$1:$BA$1000,10,FALSE)</f>
        <v>586688</v>
      </c>
      <c r="C46" s="20" t="str">
        <f t="shared" si="1"/>
        <v>586688</v>
      </c>
      <c r="D46" s="20" t="str">
        <f>VLOOKUP($A46,MINASA!$A$1:$BA$1000,27,FALSE)</f>
        <v>سيف الدين</v>
      </c>
      <c r="E46" s="20" t="str">
        <f>VLOOKUP($A46,MINASA!$A$1:$BA$1000,26,FALSE)</f>
        <v>بوعلي</v>
      </c>
      <c r="F46" s="21" t="str">
        <f>VLOOKUP($A46,MINASA!$A$1:$BA$1000,30,FALSE)</f>
        <v>30/01/2008</v>
      </c>
      <c r="G46" s="20" t="str">
        <f>VLOOKUP($A46,MINASA!$A$1:$BA$1000,31,FALSE)</f>
        <v>الزاوية العابدية</v>
      </c>
      <c r="H46" s="20" t="str">
        <f>VLOOKUP($A46,MINASA!$A$1:$BA$1000,47,FALSE)</f>
        <v>التركيب الصحي</v>
      </c>
      <c r="I46" s="21" t="str">
        <f>VLOOKUP($A46,MINASA!$A$1:$BA$1000,52,FALSE)</f>
        <v>2026-10-04</v>
      </c>
      <c r="J46" s="21" t="str">
        <f>VLOOKUP($A46,MINASA!$A$1:$BA$1000,53,FALSE)</f>
        <v>2027-10-03</v>
      </c>
      <c r="L46" s="20" t="s">
        <v>14</v>
      </c>
      <c r="M46" s="20" t="s">
        <v>62</v>
      </c>
      <c r="N46" s="20" t="s">
        <v>164</v>
      </c>
    </row>
    <row r="47" spans="1:14" ht="81.75" customHeight="1" thickBot="1">
      <c r="A47" s="20">
        <v>46</v>
      </c>
      <c r="B47" s="24">
        <f>VLOOKUP($A47,MINASA!$A$1:$BA$1000,10,FALSE)</f>
        <v>319920</v>
      </c>
      <c r="C47" s="20" t="str">
        <f t="shared" si="1"/>
        <v>319920</v>
      </c>
      <c r="D47" s="20" t="str">
        <f>VLOOKUP($A47,MINASA!$A$1:$BA$1000,27,FALSE)</f>
        <v>خالد</v>
      </c>
      <c r="E47" s="20" t="str">
        <f>VLOOKUP($A47,MINASA!$A$1:$BA$1000,26,FALSE)</f>
        <v>بن قويدر</v>
      </c>
      <c r="F47" s="21">
        <f>VLOOKUP($A47,MINASA!$A$1:$BA$1000,30,FALSE)</f>
        <v>39699</v>
      </c>
      <c r="G47" s="20">
        <f>VLOOKUP($A47,MINASA!$A$1:$BA$1000,31,FALSE)</f>
        <v>0</v>
      </c>
      <c r="H47" s="20" t="str">
        <f>VLOOKUP($A47,MINASA!$A$1:$BA$1000,47,FALSE)</f>
        <v>التركيب الصحي</v>
      </c>
      <c r="I47" s="21" t="str">
        <f>VLOOKUP($A47,MINASA!$A$1:$BA$1000,52,FALSE)</f>
        <v>2026-10-04</v>
      </c>
      <c r="J47" s="21" t="str">
        <f>VLOOKUP($A47,MINASA!$A$1:$BA$1000,53,FALSE)</f>
        <v>2027-10-03</v>
      </c>
      <c r="L47" s="20" t="s">
        <v>14</v>
      </c>
      <c r="M47" s="20" t="s">
        <v>63</v>
      </c>
      <c r="N47" s="20" t="s">
        <v>165</v>
      </c>
    </row>
    <row r="48" spans="1:14" ht="81.75" customHeight="1" thickBot="1">
      <c r="A48" s="20">
        <v>47</v>
      </c>
      <c r="B48" s="24">
        <f>VLOOKUP($A48,MINASA!$A$1:$BA$1000,10,FALSE)</f>
        <v>63290</v>
      </c>
      <c r="C48" s="20" t="str">
        <f t="shared" si="1"/>
        <v>63290</v>
      </c>
      <c r="D48" s="20" t="str">
        <f>VLOOKUP($A48,MINASA!$A$1:$BA$1000,27,FALSE)</f>
        <v>عماد</v>
      </c>
      <c r="E48" s="20" t="str">
        <f>VLOOKUP($A48,MINASA!$A$1:$BA$1000,26,FALSE)</f>
        <v>دومان</v>
      </c>
      <c r="F48" s="21" t="str">
        <f>VLOOKUP($A48,MINASA!$A$1:$BA$1000,30,FALSE)</f>
        <v>05/12/2009</v>
      </c>
      <c r="G48" s="20" t="str">
        <f>VLOOKUP($A48,MINASA!$A$1:$BA$1000,31,FALSE)</f>
        <v>تنس</v>
      </c>
      <c r="H48" s="20" t="str">
        <f>VLOOKUP($A48,MINASA!$A$1:$BA$1000,47,FALSE)</f>
        <v>التركيب الصحي</v>
      </c>
      <c r="I48" s="21" t="str">
        <f>VLOOKUP($A48,MINASA!$A$1:$BA$1000,52,FALSE)</f>
        <v>2026-10-04</v>
      </c>
      <c r="J48" s="21" t="str">
        <f>VLOOKUP($A48,MINASA!$A$1:$BA$1000,53,FALSE)</f>
        <v>2027-10-03</v>
      </c>
      <c r="L48" s="20" t="s">
        <v>14</v>
      </c>
      <c r="M48" s="20" t="s">
        <v>64</v>
      </c>
      <c r="N48" s="20" t="s">
        <v>166</v>
      </c>
    </row>
    <row r="49" spans="1:14" ht="81.75" customHeight="1" thickBot="1">
      <c r="A49" s="20">
        <v>48</v>
      </c>
      <c r="B49" s="24">
        <f>VLOOKUP($A49,MINASA!$A$1:$BA$1000,10,FALSE)</f>
        <v>305028</v>
      </c>
      <c r="C49" s="20" t="str">
        <f t="shared" si="1"/>
        <v>305028</v>
      </c>
      <c r="D49" s="20" t="str">
        <f>VLOOKUP($A49,MINASA!$A$1:$BA$1000,27,FALSE)</f>
        <v>لقمان</v>
      </c>
      <c r="E49" s="20" t="str">
        <f>VLOOKUP($A49,MINASA!$A$1:$BA$1000,26,FALSE)</f>
        <v>عزيزي</v>
      </c>
      <c r="F49" s="21" t="str">
        <f>VLOOKUP($A49,MINASA!$A$1:$BA$1000,30,FALSE)</f>
        <v>29/05/2009</v>
      </c>
      <c r="G49" s="20" t="str">
        <f>VLOOKUP($A49,MINASA!$A$1:$BA$1000,31,FALSE)</f>
        <v>تبسبست</v>
      </c>
      <c r="H49" s="20" t="str">
        <f>VLOOKUP($A49,MINASA!$A$1:$BA$1000,47,FALSE)</f>
        <v>التركيب الصحي</v>
      </c>
      <c r="I49" s="21" t="str">
        <f>VLOOKUP($A49,MINASA!$A$1:$BA$1000,52,FALSE)</f>
        <v>2026-10-04</v>
      </c>
      <c r="J49" s="21" t="str">
        <f>VLOOKUP($A49,MINASA!$A$1:$BA$1000,53,FALSE)</f>
        <v>2027-10-03</v>
      </c>
      <c r="L49" s="20" t="s">
        <v>14</v>
      </c>
      <c r="M49" s="20" t="s">
        <v>65</v>
      </c>
      <c r="N49" s="20" t="s">
        <v>167</v>
      </c>
    </row>
    <row r="50" spans="1:14" ht="81.75" customHeight="1" thickBot="1">
      <c r="A50" s="20">
        <v>49</v>
      </c>
      <c r="B50" s="24">
        <f>VLOOKUP($A50,MINASA!$A$1:$BA$1000,10,FALSE)</f>
        <v>690643</v>
      </c>
      <c r="C50" s="20" t="str">
        <f t="shared" si="1"/>
        <v>690643</v>
      </c>
      <c r="D50" s="20" t="str">
        <f>VLOOKUP($A50,MINASA!$A$1:$BA$1000,27,FALSE)</f>
        <v>عبد الرحمان</v>
      </c>
      <c r="E50" s="20" t="str">
        <f>VLOOKUP($A50,MINASA!$A$1:$BA$1000,26,FALSE)</f>
        <v>مجوجة</v>
      </c>
      <c r="F50" s="21">
        <f>VLOOKUP($A50,MINASA!$A$1:$BA$1000,30,FALSE)</f>
        <v>40126</v>
      </c>
      <c r="G50" s="20">
        <f>VLOOKUP($A50,MINASA!$A$1:$BA$1000,31,FALSE)</f>
        <v>0</v>
      </c>
      <c r="H50" s="20" t="str">
        <f>VLOOKUP($A50,MINASA!$A$1:$BA$1000,47,FALSE)</f>
        <v>التركيب الصحي</v>
      </c>
      <c r="I50" s="21" t="str">
        <f>VLOOKUP($A50,MINASA!$A$1:$BA$1000,52,FALSE)</f>
        <v>2026-10-04</v>
      </c>
      <c r="J50" s="21" t="str">
        <f>VLOOKUP($A50,MINASA!$A$1:$BA$1000,53,FALSE)</f>
        <v>2027-10-03</v>
      </c>
      <c r="L50" s="20" t="s">
        <v>14</v>
      </c>
      <c r="M50" s="20" t="s">
        <v>66</v>
      </c>
      <c r="N50" s="20" t="s">
        <v>168</v>
      </c>
    </row>
    <row r="51" spans="1:14" ht="81.75" customHeight="1" thickBot="1">
      <c r="A51" s="20">
        <v>50</v>
      </c>
      <c r="B51" s="24">
        <f>VLOOKUP($A51,MINASA!$A$1:$BA$1000,10,FALSE)</f>
        <v>623739</v>
      </c>
      <c r="C51" s="20" t="str">
        <f t="shared" si="1"/>
        <v>623739</v>
      </c>
      <c r="D51" s="20" t="str">
        <f>VLOOKUP($A51,MINASA!$A$1:$BA$1000,27,FALSE)</f>
        <v>يوسف</v>
      </c>
      <c r="E51" s="20" t="str">
        <f>VLOOKUP($A51,MINASA!$A$1:$BA$1000,26,FALSE)</f>
        <v>بلوزي</v>
      </c>
      <c r="F51" s="21">
        <f>VLOOKUP($A51,MINASA!$A$1:$BA$1000,30,FALSE)</f>
        <v>39899</v>
      </c>
      <c r="G51" s="20">
        <f>VLOOKUP($A51,MINASA!$A$1:$BA$1000,31,FALSE)</f>
        <v>0</v>
      </c>
      <c r="H51" s="20" t="str">
        <f>VLOOKUP($A51,MINASA!$A$1:$BA$1000,47,FALSE)</f>
        <v>التركيب الصحي</v>
      </c>
      <c r="I51" s="21" t="str">
        <f>VLOOKUP($A51,MINASA!$A$1:$BA$1000,52,FALSE)</f>
        <v>2026-10-04</v>
      </c>
      <c r="J51" s="21" t="str">
        <f>VLOOKUP($A51,MINASA!$A$1:$BA$1000,53,FALSE)</f>
        <v>2027-10-03</v>
      </c>
      <c r="L51" s="20" t="s">
        <v>14</v>
      </c>
      <c r="M51" s="20" t="s">
        <v>67</v>
      </c>
      <c r="N51" s="20" t="s">
        <v>169</v>
      </c>
    </row>
    <row r="52" spans="1:14" ht="81.75" customHeight="1" thickBot="1">
      <c r="A52" s="20">
        <v>51</v>
      </c>
      <c r="B52" s="24">
        <f>VLOOKUP($A52,MINASA!$A$1:$BA$1000,10,FALSE)</f>
        <v>622322</v>
      </c>
      <c r="C52" s="20" t="str">
        <f t="shared" si="1"/>
        <v>622322</v>
      </c>
      <c r="D52" s="20" t="str">
        <f>VLOOKUP($A52,MINASA!$A$1:$BA$1000,27,FALSE)</f>
        <v>محمد اكرم</v>
      </c>
      <c r="E52" s="20" t="str">
        <f>VLOOKUP($A52,MINASA!$A$1:$BA$1000,26,FALSE)</f>
        <v>اماني</v>
      </c>
      <c r="F52" s="21">
        <f>VLOOKUP($A52,MINASA!$A$1:$BA$1000,30,FALSE)</f>
        <v>39827</v>
      </c>
      <c r="G52" s="20">
        <f>VLOOKUP($A52,MINASA!$A$1:$BA$1000,31,FALSE)</f>
        <v>0</v>
      </c>
      <c r="H52" s="20" t="str">
        <f>VLOOKUP($A52,MINASA!$A$1:$BA$1000,47,FALSE)</f>
        <v>التركيب الصحي</v>
      </c>
      <c r="I52" s="21" t="str">
        <f>VLOOKUP($A52,MINASA!$A$1:$BA$1000,52,FALSE)</f>
        <v>2026-10-04</v>
      </c>
      <c r="J52" s="21" t="str">
        <f>VLOOKUP($A52,MINASA!$A$1:$BA$1000,53,FALSE)</f>
        <v>2027-10-03</v>
      </c>
      <c r="L52" s="20" t="s">
        <v>14</v>
      </c>
      <c r="M52" s="20" t="s">
        <v>68</v>
      </c>
      <c r="N52" s="20" t="s">
        <v>170</v>
      </c>
    </row>
    <row r="53" spans="1:14" ht="81.75" customHeight="1" thickBot="1">
      <c r="A53" s="20">
        <v>52</v>
      </c>
      <c r="B53" s="24">
        <f>VLOOKUP($A53,MINASA!$A$1:$BA$1000,10,FALSE)</f>
        <v>367222</v>
      </c>
      <c r="C53" s="20" t="str">
        <f t="shared" si="1"/>
        <v>367222</v>
      </c>
      <c r="D53" s="20" t="str">
        <f>VLOOKUP($A53,MINASA!$A$1:$BA$1000,27,FALSE)</f>
        <v>عبد الرزاق</v>
      </c>
      <c r="E53" s="20" t="str">
        <f>VLOOKUP($A53,MINASA!$A$1:$BA$1000,26,FALSE)</f>
        <v>مقنش</v>
      </c>
      <c r="F53" s="21">
        <f>VLOOKUP($A53,MINASA!$A$1:$BA$1000,30,FALSE)</f>
        <v>39865</v>
      </c>
      <c r="G53" s="20">
        <f>VLOOKUP($A53,MINASA!$A$1:$BA$1000,31,FALSE)</f>
        <v>0</v>
      </c>
      <c r="H53" s="20" t="str">
        <f>VLOOKUP($A53,MINASA!$A$1:$BA$1000,47,FALSE)</f>
        <v>التركيب الصحي</v>
      </c>
      <c r="I53" s="21" t="str">
        <f>VLOOKUP($A53,MINASA!$A$1:$BA$1000,52,FALSE)</f>
        <v>2026-10-04</v>
      </c>
      <c r="J53" s="21" t="str">
        <f>VLOOKUP($A53,MINASA!$A$1:$BA$1000,53,FALSE)</f>
        <v>2027-10-03</v>
      </c>
      <c r="L53" s="20" t="s">
        <v>14</v>
      </c>
      <c r="M53" s="20" t="s">
        <v>69</v>
      </c>
      <c r="N53" s="20" t="s">
        <v>171</v>
      </c>
    </row>
    <row r="54" spans="1:14" ht="81.75" customHeight="1" thickBot="1">
      <c r="A54" s="20">
        <v>53</v>
      </c>
      <c r="B54" s="24">
        <f>VLOOKUP($A54,MINASA!$A$1:$BA$1000,10,FALSE)</f>
        <v>560296</v>
      </c>
      <c r="C54" s="20" t="str">
        <f t="shared" si="1"/>
        <v>560296</v>
      </c>
      <c r="D54" s="20" t="str">
        <f>VLOOKUP($A54,MINASA!$A$1:$BA$1000,27,FALSE)</f>
        <v>سليم</v>
      </c>
      <c r="E54" s="20" t="str">
        <f>VLOOKUP($A54,MINASA!$A$1:$BA$1000,26,FALSE)</f>
        <v>نوي</v>
      </c>
      <c r="F54" s="21">
        <f>VLOOKUP($A54,MINASA!$A$1:$BA$1000,30,FALSE)</f>
        <v>39956</v>
      </c>
      <c r="G54" s="20">
        <f>VLOOKUP($A54,MINASA!$A$1:$BA$1000,31,FALSE)</f>
        <v>0</v>
      </c>
      <c r="H54" s="20" t="str">
        <f>VLOOKUP($A54,MINASA!$A$1:$BA$1000,47,FALSE)</f>
        <v>التركيب الصحي</v>
      </c>
      <c r="I54" s="21" t="str">
        <f>VLOOKUP($A54,MINASA!$A$1:$BA$1000,52,FALSE)</f>
        <v>2026-10-04</v>
      </c>
      <c r="J54" s="21" t="str">
        <f>VLOOKUP($A54,MINASA!$A$1:$BA$1000,53,FALSE)</f>
        <v>2027-10-03</v>
      </c>
      <c r="L54" s="20" t="s">
        <v>14</v>
      </c>
      <c r="M54" s="20" t="s">
        <v>70</v>
      </c>
      <c r="N54" s="20" t="s">
        <v>172</v>
      </c>
    </row>
    <row r="55" spans="1:14" ht="81.75" customHeight="1" thickBot="1">
      <c r="A55" s="20">
        <v>54</v>
      </c>
      <c r="B55" s="24">
        <f>VLOOKUP($A55,MINASA!$A$1:$BA$1000,10,FALSE)</f>
        <v>159294</v>
      </c>
      <c r="C55" s="20" t="str">
        <f t="shared" si="1"/>
        <v>159294</v>
      </c>
      <c r="D55" s="20" t="str">
        <f>VLOOKUP($A55,MINASA!$A$1:$BA$1000,27,FALSE)</f>
        <v>عبد الحق</v>
      </c>
      <c r="E55" s="20" t="str">
        <f>VLOOKUP($A55,MINASA!$A$1:$BA$1000,26,FALSE)</f>
        <v>حنونه</v>
      </c>
      <c r="F55" s="21" t="str">
        <f>VLOOKUP($A55,MINASA!$A$1:$BA$1000,30,FALSE)</f>
        <v>19/06/2009</v>
      </c>
      <c r="G55" s="20" t="str">
        <f>VLOOKUP($A55,MINASA!$A$1:$BA$1000,31,FALSE)</f>
        <v>الزاوية العابدية</v>
      </c>
      <c r="H55" s="20" t="str">
        <f>VLOOKUP($A55,MINASA!$A$1:$BA$1000,47,FALSE)</f>
        <v>التركيب الصحي</v>
      </c>
      <c r="I55" s="21" t="str">
        <f>VLOOKUP($A55,MINASA!$A$1:$BA$1000,52,FALSE)</f>
        <v>2026-10-04</v>
      </c>
      <c r="J55" s="21" t="str">
        <f>VLOOKUP($A55,MINASA!$A$1:$BA$1000,53,FALSE)</f>
        <v>2027-10-03</v>
      </c>
      <c r="L55" s="20" t="s">
        <v>14</v>
      </c>
      <c r="M55" s="20" t="s">
        <v>71</v>
      </c>
      <c r="N55" s="20" t="s">
        <v>173</v>
      </c>
    </row>
    <row r="56" spans="1:14" ht="81.75" customHeight="1" thickBot="1">
      <c r="A56" s="20">
        <v>55</v>
      </c>
      <c r="B56" s="24">
        <f>VLOOKUP($A56,MINASA!$A$1:$BA$1000,10,FALSE)</f>
        <v>337097</v>
      </c>
      <c r="C56" s="20" t="str">
        <f t="shared" si="1"/>
        <v>337097</v>
      </c>
      <c r="D56" s="20" t="str">
        <f>VLOOKUP($A56,MINASA!$A$1:$BA$1000,27,FALSE)</f>
        <v>سيف الدين</v>
      </c>
      <c r="E56" s="20" t="str">
        <f>VLOOKUP($A56,MINASA!$A$1:$BA$1000,26,FALSE)</f>
        <v>بالهاني</v>
      </c>
      <c r="F56" s="21">
        <f>VLOOKUP($A56,MINASA!$A$1:$BA$1000,30,FALSE)</f>
        <v>40257</v>
      </c>
      <c r="G56" s="20">
        <f>VLOOKUP($A56,MINASA!$A$1:$BA$1000,31,FALSE)</f>
        <v>0</v>
      </c>
      <c r="H56" s="20" t="str">
        <f>VLOOKUP($A56,MINASA!$A$1:$BA$1000,47,FALSE)</f>
        <v>التركيب الصحي</v>
      </c>
      <c r="I56" s="21" t="str">
        <f>VLOOKUP($A56,MINASA!$A$1:$BA$1000,52,FALSE)</f>
        <v>2026-10-04</v>
      </c>
      <c r="J56" s="21" t="str">
        <f>VLOOKUP($A56,MINASA!$A$1:$BA$1000,53,FALSE)</f>
        <v>2027-10-03</v>
      </c>
      <c r="L56" s="20" t="s">
        <v>14</v>
      </c>
      <c r="M56" s="20" t="s">
        <v>72</v>
      </c>
      <c r="N56" s="20" t="s">
        <v>174</v>
      </c>
    </row>
    <row r="57" spans="1:14" ht="81.75" customHeight="1" thickBot="1">
      <c r="A57" s="20">
        <v>56</v>
      </c>
      <c r="B57" s="24">
        <f>VLOOKUP($A57,MINASA!$A$1:$BA$1000,10,FALSE)</f>
        <v>404001</v>
      </c>
      <c r="C57" s="20" t="str">
        <f t="shared" si="1"/>
        <v>404001</v>
      </c>
      <c r="D57" s="20" t="str">
        <f>VLOOKUP($A57,MINASA!$A$1:$BA$1000,27,FALSE)</f>
        <v>محمد</v>
      </c>
      <c r="E57" s="20" t="str">
        <f>VLOOKUP($A57,MINASA!$A$1:$BA$1000,26,FALSE)</f>
        <v>نوي</v>
      </c>
      <c r="F57" s="21">
        <f>VLOOKUP($A57,MINASA!$A$1:$BA$1000,30,FALSE)</f>
        <v>40287</v>
      </c>
      <c r="G57" s="20">
        <f>VLOOKUP($A57,MINASA!$A$1:$BA$1000,31,FALSE)</f>
        <v>0</v>
      </c>
      <c r="H57" s="20" t="str">
        <f>VLOOKUP($A57,MINASA!$A$1:$BA$1000,47,FALSE)</f>
        <v>التركيب الصحي</v>
      </c>
      <c r="I57" s="21" t="str">
        <f>VLOOKUP($A57,MINASA!$A$1:$BA$1000,52,FALSE)</f>
        <v>2026-10-04</v>
      </c>
      <c r="J57" s="21" t="str">
        <f>VLOOKUP($A57,MINASA!$A$1:$BA$1000,53,FALSE)</f>
        <v>2027-10-03</v>
      </c>
      <c r="L57" s="20" t="s">
        <v>14</v>
      </c>
      <c r="M57" s="20" t="s">
        <v>73</v>
      </c>
      <c r="N57" s="20" t="s">
        <v>175</v>
      </c>
    </row>
    <row r="58" spans="1:14" ht="81.75" customHeight="1" thickBot="1">
      <c r="A58" s="20">
        <v>57</v>
      </c>
      <c r="B58" s="24">
        <f>VLOOKUP($A58,MINASA!$A$1:$BA$1000,10,FALSE)</f>
        <v>477281</v>
      </c>
      <c r="C58" s="20" t="str">
        <f t="shared" si="1"/>
        <v>477281</v>
      </c>
      <c r="D58" s="20" t="str">
        <f>VLOOKUP($A58,MINASA!$A$1:$BA$1000,27,FALSE)</f>
        <v>محمد حبيب الرحمان</v>
      </c>
      <c r="E58" s="20" t="str">
        <f>VLOOKUP($A58,MINASA!$A$1:$BA$1000,26,FALSE)</f>
        <v>القني</v>
      </c>
      <c r="F58" s="21">
        <f>VLOOKUP($A58,MINASA!$A$1:$BA$1000,30,FALSE)</f>
        <v>40404</v>
      </c>
      <c r="G58" s="20">
        <f>VLOOKUP($A58,MINASA!$A$1:$BA$1000,31,FALSE)</f>
        <v>0</v>
      </c>
      <c r="H58" s="20" t="str">
        <f>VLOOKUP($A58,MINASA!$A$1:$BA$1000,47,FALSE)</f>
        <v>التركيب الصحي</v>
      </c>
      <c r="I58" s="21" t="str">
        <f>VLOOKUP($A58,MINASA!$A$1:$BA$1000,52,FALSE)</f>
        <v>2026-10-04</v>
      </c>
      <c r="J58" s="21" t="str">
        <f>VLOOKUP($A58,MINASA!$A$1:$BA$1000,53,FALSE)</f>
        <v>2027-10-03</v>
      </c>
      <c r="L58" s="20" t="s">
        <v>14</v>
      </c>
      <c r="M58" s="20" t="s">
        <v>74</v>
      </c>
      <c r="N58" s="20" t="s">
        <v>176</v>
      </c>
    </row>
    <row r="59" spans="1:14" ht="81.75" customHeight="1" thickBot="1">
      <c r="A59" s="20">
        <v>58</v>
      </c>
      <c r="B59" s="24" t="e">
        <f>VLOOKUP($A59,MINASA!$A$1:$BA$1000,10,FALSE)</f>
        <v>#N/A</v>
      </c>
      <c r="C59" s="20" t="e">
        <f t="shared" si="1"/>
        <v>#N/A</v>
      </c>
      <c r="D59" s="20" t="e">
        <f>VLOOKUP($A59,MINASA!$A$1:$BA$1000,27,FALSE)</f>
        <v>#N/A</v>
      </c>
      <c r="E59" s="20" t="e">
        <f>VLOOKUP($A59,MINASA!$A$1:$BA$1000,26,FALSE)</f>
        <v>#N/A</v>
      </c>
      <c r="F59" s="21" t="e">
        <f>VLOOKUP($A59,MINASA!$A$1:$BA$1000,30,FALSE)</f>
        <v>#N/A</v>
      </c>
      <c r="G59" s="20" t="e">
        <f>VLOOKUP($A59,MINASA!$A$1:$BA$1000,31,FALSE)</f>
        <v>#N/A</v>
      </c>
      <c r="H59" s="20" t="e">
        <f>VLOOKUP($A59,MINASA!$A$1:$BA$1000,47,FALSE)</f>
        <v>#N/A</v>
      </c>
      <c r="I59" s="21" t="e">
        <f>VLOOKUP($A59,MINASA!$A$1:$BA$1000,52,FALSE)</f>
        <v>#N/A</v>
      </c>
      <c r="J59" s="21" t="e">
        <f>VLOOKUP($A59,MINASA!$A$1:$BA$1000,53,FALSE)</f>
        <v>#N/A</v>
      </c>
      <c r="L59" s="20" t="s">
        <v>14</v>
      </c>
      <c r="M59" s="20" t="s">
        <v>75</v>
      </c>
      <c r="N59" s="20" t="s">
        <v>177</v>
      </c>
    </row>
    <row r="60" spans="1:14" ht="81.75" customHeight="1" thickBot="1">
      <c r="A60" s="20">
        <v>59</v>
      </c>
      <c r="B60" s="24" t="e">
        <f>VLOOKUP($A60,MINASA!$A$1:$BA$1000,10,FALSE)</f>
        <v>#N/A</v>
      </c>
      <c r="C60" s="20" t="e">
        <f t="shared" si="1"/>
        <v>#N/A</v>
      </c>
      <c r="D60" s="20" t="e">
        <f>VLOOKUP($A60,MINASA!$A$1:$BA$1000,27,FALSE)</f>
        <v>#N/A</v>
      </c>
      <c r="E60" s="20" t="e">
        <f>VLOOKUP($A60,MINASA!$A$1:$BA$1000,26,FALSE)</f>
        <v>#N/A</v>
      </c>
      <c r="F60" s="21" t="e">
        <f>VLOOKUP($A60,MINASA!$A$1:$BA$1000,30,FALSE)</f>
        <v>#N/A</v>
      </c>
      <c r="G60" s="20" t="e">
        <f>VLOOKUP($A60,MINASA!$A$1:$BA$1000,31,FALSE)</f>
        <v>#N/A</v>
      </c>
      <c r="H60" s="20" t="e">
        <f>VLOOKUP($A60,MINASA!$A$1:$BA$1000,47,FALSE)</f>
        <v>#N/A</v>
      </c>
      <c r="I60" s="21" t="e">
        <f>VLOOKUP($A60,MINASA!$A$1:$BA$1000,52,FALSE)</f>
        <v>#N/A</v>
      </c>
      <c r="J60" s="21" t="e">
        <f>VLOOKUP($A60,MINASA!$A$1:$BA$1000,53,FALSE)</f>
        <v>#N/A</v>
      </c>
      <c r="L60" s="20" t="s">
        <v>14</v>
      </c>
      <c r="M60" s="20" t="s">
        <v>76</v>
      </c>
      <c r="N60" s="20" t="s">
        <v>178</v>
      </c>
    </row>
    <row r="61" spans="1:14" ht="81.75" customHeight="1" thickBot="1">
      <c r="A61" s="20">
        <v>60</v>
      </c>
      <c r="B61" s="24" t="e">
        <f>VLOOKUP($A61,MINASA!$A$1:$BA$1000,10,FALSE)</f>
        <v>#N/A</v>
      </c>
      <c r="C61" s="20" t="e">
        <f t="shared" si="1"/>
        <v>#N/A</v>
      </c>
      <c r="D61" s="20" t="e">
        <f>VLOOKUP($A61,MINASA!$A$1:$BA$1000,27,FALSE)</f>
        <v>#N/A</v>
      </c>
      <c r="E61" s="20" t="e">
        <f>VLOOKUP($A61,MINASA!$A$1:$BA$1000,26,FALSE)</f>
        <v>#N/A</v>
      </c>
      <c r="F61" s="21" t="e">
        <f>VLOOKUP($A61,MINASA!$A$1:$BA$1000,30,FALSE)</f>
        <v>#N/A</v>
      </c>
      <c r="G61" s="20" t="e">
        <f>VLOOKUP($A61,MINASA!$A$1:$BA$1000,31,FALSE)</f>
        <v>#N/A</v>
      </c>
      <c r="H61" s="20" t="e">
        <f>VLOOKUP($A61,MINASA!$A$1:$BA$1000,47,FALSE)</f>
        <v>#N/A</v>
      </c>
      <c r="I61" s="21" t="e">
        <f>VLOOKUP($A61,MINASA!$A$1:$BA$1000,52,FALSE)</f>
        <v>#N/A</v>
      </c>
      <c r="J61" s="21" t="e">
        <f>VLOOKUP($A61,MINASA!$A$1:$BA$1000,53,FALSE)</f>
        <v>#N/A</v>
      </c>
      <c r="L61" s="20" t="s">
        <v>14</v>
      </c>
      <c r="M61" s="20" t="s">
        <v>77</v>
      </c>
      <c r="N61" s="20" t="s">
        <v>179</v>
      </c>
    </row>
    <row r="62" spans="1:14" ht="81.75" customHeight="1" thickBot="1">
      <c r="A62" s="20">
        <v>61</v>
      </c>
      <c r="B62" s="24" t="e">
        <f>VLOOKUP($A62,MINASA!$A$1:$BA$1000,10,FALSE)</f>
        <v>#N/A</v>
      </c>
      <c r="C62" s="20" t="e">
        <f t="shared" si="1"/>
        <v>#N/A</v>
      </c>
      <c r="D62" s="20" t="e">
        <f>VLOOKUP($A62,MINASA!$A$1:$BA$1000,27,FALSE)</f>
        <v>#N/A</v>
      </c>
      <c r="E62" s="20" t="e">
        <f>VLOOKUP($A62,MINASA!$A$1:$BA$1000,26,FALSE)</f>
        <v>#N/A</v>
      </c>
      <c r="F62" s="21" t="e">
        <f>VLOOKUP($A62,MINASA!$A$1:$BA$1000,30,FALSE)</f>
        <v>#N/A</v>
      </c>
      <c r="G62" s="20" t="e">
        <f>VLOOKUP($A62,MINASA!$A$1:$BA$1000,31,FALSE)</f>
        <v>#N/A</v>
      </c>
      <c r="H62" s="20" t="e">
        <f>VLOOKUP($A62,MINASA!$A$1:$BA$1000,47,FALSE)</f>
        <v>#N/A</v>
      </c>
      <c r="I62" s="21" t="e">
        <f>VLOOKUP($A62,MINASA!$A$1:$BA$1000,52,FALSE)</f>
        <v>#N/A</v>
      </c>
      <c r="J62" s="21" t="e">
        <f>VLOOKUP($A62,MINASA!$A$1:$BA$1000,53,FALSE)</f>
        <v>#N/A</v>
      </c>
      <c r="L62" s="20" t="s">
        <v>14</v>
      </c>
      <c r="M62" s="20" t="s">
        <v>78</v>
      </c>
      <c r="N62" s="20" t="s">
        <v>180</v>
      </c>
    </row>
    <row r="63" spans="1:14" ht="81.75" customHeight="1" thickBot="1">
      <c r="A63" s="20">
        <v>62</v>
      </c>
      <c r="B63" s="24" t="e">
        <f>VLOOKUP($A63,MINASA!$A$1:$BA$1000,10,FALSE)</f>
        <v>#N/A</v>
      </c>
      <c r="C63" s="20" t="e">
        <f t="shared" si="1"/>
        <v>#N/A</v>
      </c>
      <c r="D63" s="20" t="e">
        <f>VLOOKUP($A63,MINASA!$A$1:$BA$1000,27,FALSE)</f>
        <v>#N/A</v>
      </c>
      <c r="E63" s="20" t="e">
        <f>VLOOKUP($A63,MINASA!$A$1:$BA$1000,26,FALSE)</f>
        <v>#N/A</v>
      </c>
      <c r="F63" s="21" t="e">
        <f>VLOOKUP($A63,MINASA!$A$1:$BA$1000,30,FALSE)</f>
        <v>#N/A</v>
      </c>
      <c r="G63" s="20" t="e">
        <f>VLOOKUP($A63,MINASA!$A$1:$BA$1000,31,FALSE)</f>
        <v>#N/A</v>
      </c>
      <c r="H63" s="20" t="e">
        <f>VLOOKUP($A63,MINASA!$A$1:$BA$1000,47,FALSE)</f>
        <v>#N/A</v>
      </c>
      <c r="I63" s="21" t="e">
        <f>VLOOKUP($A63,MINASA!$A$1:$BA$1000,52,FALSE)</f>
        <v>#N/A</v>
      </c>
      <c r="J63" s="21" t="e">
        <f>VLOOKUP($A63,MINASA!$A$1:$BA$1000,53,FALSE)</f>
        <v>#N/A</v>
      </c>
      <c r="L63" s="20" t="s">
        <v>14</v>
      </c>
      <c r="M63" s="20" t="s">
        <v>79</v>
      </c>
      <c r="N63" s="20" t="s">
        <v>181</v>
      </c>
    </row>
    <row r="64" spans="1:14" ht="81.75" customHeight="1" thickBot="1">
      <c r="A64" s="20">
        <v>63</v>
      </c>
      <c r="B64" s="24" t="e">
        <f>VLOOKUP($A64,MINASA!$A$1:$BA$1000,10,FALSE)</f>
        <v>#N/A</v>
      </c>
      <c r="C64" s="20" t="e">
        <f t="shared" si="1"/>
        <v>#N/A</v>
      </c>
      <c r="D64" s="20" t="e">
        <f>VLOOKUP($A64,MINASA!$A$1:$BA$1000,27,FALSE)</f>
        <v>#N/A</v>
      </c>
      <c r="E64" s="20" t="e">
        <f>VLOOKUP($A64,MINASA!$A$1:$BA$1000,26,FALSE)</f>
        <v>#N/A</v>
      </c>
      <c r="F64" s="21" t="e">
        <f>VLOOKUP($A64,MINASA!$A$1:$BA$1000,30,FALSE)</f>
        <v>#N/A</v>
      </c>
      <c r="G64" s="20" t="e">
        <f>VLOOKUP($A64,MINASA!$A$1:$BA$1000,31,FALSE)</f>
        <v>#N/A</v>
      </c>
      <c r="H64" s="20" t="e">
        <f>VLOOKUP($A64,MINASA!$A$1:$BA$1000,47,FALSE)</f>
        <v>#N/A</v>
      </c>
      <c r="I64" s="21" t="e">
        <f>VLOOKUP($A64,MINASA!$A$1:$BA$1000,52,FALSE)</f>
        <v>#N/A</v>
      </c>
      <c r="J64" s="21" t="e">
        <f>VLOOKUP($A64,MINASA!$A$1:$BA$1000,53,FALSE)</f>
        <v>#N/A</v>
      </c>
      <c r="L64" s="20" t="s">
        <v>14</v>
      </c>
      <c r="M64" s="20" t="s">
        <v>80</v>
      </c>
      <c r="N64" s="20" t="s">
        <v>182</v>
      </c>
    </row>
    <row r="65" spans="1:14" ht="81.75" customHeight="1" thickBot="1">
      <c r="A65" s="20">
        <v>64</v>
      </c>
      <c r="B65" s="24" t="e">
        <f>VLOOKUP($A65,MINASA!$A$1:$BA$1000,10,FALSE)</f>
        <v>#N/A</v>
      </c>
      <c r="C65" s="20" t="e">
        <f t="shared" si="1"/>
        <v>#N/A</v>
      </c>
      <c r="D65" s="20" t="e">
        <f>VLOOKUP($A65,MINASA!$A$1:$BA$1000,27,FALSE)</f>
        <v>#N/A</v>
      </c>
      <c r="E65" s="20" t="e">
        <f>VLOOKUP($A65,MINASA!$A$1:$BA$1000,26,FALSE)</f>
        <v>#N/A</v>
      </c>
      <c r="F65" s="21" t="e">
        <f>VLOOKUP($A65,MINASA!$A$1:$BA$1000,30,FALSE)</f>
        <v>#N/A</v>
      </c>
      <c r="G65" s="20" t="e">
        <f>VLOOKUP($A65,MINASA!$A$1:$BA$1000,31,FALSE)</f>
        <v>#N/A</v>
      </c>
      <c r="H65" s="20" t="e">
        <f>VLOOKUP($A65,MINASA!$A$1:$BA$1000,47,FALSE)</f>
        <v>#N/A</v>
      </c>
      <c r="I65" s="21" t="e">
        <f>VLOOKUP($A65,MINASA!$A$1:$BA$1000,52,FALSE)</f>
        <v>#N/A</v>
      </c>
      <c r="J65" s="21" t="e">
        <f>VLOOKUP($A65,MINASA!$A$1:$BA$1000,53,FALSE)</f>
        <v>#N/A</v>
      </c>
      <c r="L65" s="20" t="s">
        <v>14</v>
      </c>
      <c r="M65" s="20" t="s">
        <v>81</v>
      </c>
      <c r="N65" s="20" t="s">
        <v>183</v>
      </c>
    </row>
    <row r="66" spans="1:14" ht="81.75" customHeight="1" thickBot="1">
      <c r="A66" s="20">
        <v>65</v>
      </c>
      <c r="B66" s="24" t="e">
        <f>VLOOKUP($A66,MINASA!$A$1:$BA$1000,10,FALSE)</f>
        <v>#N/A</v>
      </c>
      <c r="C66" s="20" t="e">
        <f t="shared" si="1"/>
        <v>#N/A</v>
      </c>
      <c r="D66" s="20" t="e">
        <f>VLOOKUP($A66,MINASA!$A$1:$BA$1000,27,FALSE)</f>
        <v>#N/A</v>
      </c>
      <c r="E66" s="20" t="e">
        <f>VLOOKUP($A66,MINASA!$A$1:$BA$1000,26,FALSE)</f>
        <v>#N/A</v>
      </c>
      <c r="F66" s="21" t="e">
        <f>VLOOKUP($A66,MINASA!$A$1:$BA$1000,30,FALSE)</f>
        <v>#N/A</v>
      </c>
      <c r="G66" s="20" t="e">
        <f>VLOOKUP($A66,MINASA!$A$1:$BA$1000,31,FALSE)</f>
        <v>#N/A</v>
      </c>
      <c r="H66" s="20" t="e">
        <f>VLOOKUP($A66,MINASA!$A$1:$BA$1000,47,FALSE)</f>
        <v>#N/A</v>
      </c>
      <c r="I66" s="21" t="e">
        <f>VLOOKUP($A66,MINASA!$A$1:$BA$1000,52,FALSE)</f>
        <v>#N/A</v>
      </c>
      <c r="J66" s="21" t="e">
        <f>VLOOKUP($A66,MINASA!$A$1:$BA$1000,53,FALSE)</f>
        <v>#N/A</v>
      </c>
      <c r="L66" s="20" t="s">
        <v>14</v>
      </c>
      <c r="M66" s="20" t="s">
        <v>82</v>
      </c>
      <c r="N66" s="20" t="s">
        <v>184</v>
      </c>
    </row>
    <row r="67" spans="1:14" ht="81.75" customHeight="1" thickBot="1">
      <c r="A67" s="20">
        <v>66</v>
      </c>
      <c r="B67" s="24" t="e">
        <f>VLOOKUP($A67,MINASA!$A$1:$BA$1000,10,FALSE)</f>
        <v>#N/A</v>
      </c>
      <c r="C67" s="20" t="e">
        <f t="shared" si="1"/>
        <v>#N/A</v>
      </c>
      <c r="D67" s="20" t="e">
        <f>VLOOKUP($A67,MINASA!$A$1:$BA$1000,27,FALSE)</f>
        <v>#N/A</v>
      </c>
      <c r="E67" s="20" t="e">
        <f>VLOOKUP($A67,MINASA!$A$1:$BA$1000,26,FALSE)</f>
        <v>#N/A</v>
      </c>
      <c r="F67" s="21" t="e">
        <f>VLOOKUP($A67,MINASA!$A$1:$BA$1000,30,FALSE)</f>
        <v>#N/A</v>
      </c>
      <c r="G67" s="20" t="e">
        <f>VLOOKUP($A67,MINASA!$A$1:$BA$1000,31,FALSE)</f>
        <v>#N/A</v>
      </c>
      <c r="H67" s="20" t="e">
        <f>VLOOKUP($A67,MINASA!$A$1:$BA$1000,47,FALSE)</f>
        <v>#N/A</v>
      </c>
      <c r="I67" s="21" t="e">
        <f>VLOOKUP($A67,MINASA!$A$1:$BA$1000,52,FALSE)</f>
        <v>#N/A</v>
      </c>
      <c r="J67" s="21" t="e">
        <f>VLOOKUP($A67,MINASA!$A$1:$BA$1000,53,FALSE)</f>
        <v>#N/A</v>
      </c>
      <c r="L67" s="20" t="s">
        <v>14</v>
      </c>
      <c r="M67" s="20" t="s">
        <v>83</v>
      </c>
      <c r="N67" s="20" t="s">
        <v>185</v>
      </c>
    </row>
    <row r="68" spans="1:14" ht="81.75" customHeight="1" thickBot="1">
      <c r="A68" s="20">
        <v>67</v>
      </c>
      <c r="B68" s="24" t="e">
        <f>VLOOKUP($A68,MINASA!$A$1:$BA$1000,10,FALSE)</f>
        <v>#N/A</v>
      </c>
      <c r="C68" s="20" t="e">
        <f t="shared" si="1"/>
        <v>#N/A</v>
      </c>
      <c r="D68" s="20" t="e">
        <f>VLOOKUP($A68,MINASA!$A$1:$BA$1000,27,FALSE)</f>
        <v>#N/A</v>
      </c>
      <c r="E68" s="20" t="e">
        <f>VLOOKUP($A68,MINASA!$A$1:$BA$1000,26,FALSE)</f>
        <v>#N/A</v>
      </c>
      <c r="F68" s="21" t="e">
        <f>VLOOKUP($A68,MINASA!$A$1:$BA$1000,30,FALSE)</f>
        <v>#N/A</v>
      </c>
      <c r="G68" s="20" t="e">
        <f>VLOOKUP($A68,MINASA!$A$1:$BA$1000,31,FALSE)</f>
        <v>#N/A</v>
      </c>
      <c r="H68" s="20" t="e">
        <f>VLOOKUP($A68,MINASA!$A$1:$BA$1000,47,FALSE)</f>
        <v>#N/A</v>
      </c>
      <c r="I68" s="21" t="e">
        <f>VLOOKUP($A68,MINASA!$A$1:$BA$1000,52,FALSE)</f>
        <v>#N/A</v>
      </c>
      <c r="J68" s="21" t="e">
        <f>VLOOKUP($A68,MINASA!$A$1:$BA$1000,53,FALSE)</f>
        <v>#N/A</v>
      </c>
      <c r="L68" s="20" t="s">
        <v>14</v>
      </c>
      <c r="M68" s="20" t="s">
        <v>84</v>
      </c>
      <c r="N68" s="20" t="s">
        <v>186</v>
      </c>
    </row>
    <row r="69" spans="1:14" ht="81.75" customHeight="1" thickBot="1">
      <c r="A69" s="20">
        <v>68</v>
      </c>
      <c r="B69" s="24" t="e">
        <f>VLOOKUP($A69,MINASA!$A$1:$BA$1000,10,FALSE)</f>
        <v>#N/A</v>
      </c>
      <c r="C69" s="20" t="e">
        <f t="shared" ref="C69:C132" si="2">LEFT(B69,8)</f>
        <v>#N/A</v>
      </c>
      <c r="D69" s="20" t="e">
        <f>VLOOKUP($A69,MINASA!$A$1:$BA$1000,27,FALSE)</f>
        <v>#N/A</v>
      </c>
      <c r="E69" s="20" t="e">
        <f>VLOOKUP($A69,MINASA!$A$1:$BA$1000,26,FALSE)</f>
        <v>#N/A</v>
      </c>
      <c r="F69" s="21" t="e">
        <f>VLOOKUP($A69,MINASA!$A$1:$BA$1000,30,FALSE)</f>
        <v>#N/A</v>
      </c>
      <c r="G69" s="20" t="e">
        <f>VLOOKUP($A69,MINASA!$A$1:$BA$1000,31,FALSE)</f>
        <v>#N/A</v>
      </c>
      <c r="H69" s="20" t="e">
        <f>VLOOKUP($A69,MINASA!$A$1:$BA$1000,47,FALSE)</f>
        <v>#N/A</v>
      </c>
      <c r="I69" s="21" t="e">
        <f>VLOOKUP($A69,MINASA!$A$1:$BA$1000,52,FALSE)</f>
        <v>#N/A</v>
      </c>
      <c r="J69" s="21" t="e">
        <f>VLOOKUP($A69,MINASA!$A$1:$BA$1000,53,FALSE)</f>
        <v>#N/A</v>
      </c>
      <c r="L69" s="20" t="s">
        <v>14</v>
      </c>
      <c r="M69" s="20" t="s">
        <v>85</v>
      </c>
      <c r="N69" s="20" t="s">
        <v>187</v>
      </c>
    </row>
    <row r="70" spans="1:14" ht="81.75" customHeight="1" thickBot="1">
      <c r="A70" s="20">
        <v>69</v>
      </c>
      <c r="B70" s="24" t="e">
        <f>VLOOKUP($A70,MINASA!$A$1:$BA$1000,10,FALSE)</f>
        <v>#N/A</v>
      </c>
      <c r="C70" s="20" t="e">
        <f t="shared" si="2"/>
        <v>#N/A</v>
      </c>
      <c r="D70" s="20" t="e">
        <f>VLOOKUP($A70,MINASA!$A$1:$BA$1000,27,FALSE)</f>
        <v>#N/A</v>
      </c>
      <c r="E70" s="20" t="e">
        <f>VLOOKUP($A70,MINASA!$A$1:$BA$1000,26,FALSE)</f>
        <v>#N/A</v>
      </c>
      <c r="F70" s="21" t="e">
        <f>VLOOKUP($A70,MINASA!$A$1:$BA$1000,30,FALSE)</f>
        <v>#N/A</v>
      </c>
      <c r="G70" s="20" t="e">
        <f>VLOOKUP($A70,MINASA!$A$1:$BA$1000,31,FALSE)</f>
        <v>#N/A</v>
      </c>
      <c r="H70" s="20" t="e">
        <f>VLOOKUP($A70,MINASA!$A$1:$BA$1000,47,FALSE)</f>
        <v>#N/A</v>
      </c>
      <c r="I70" s="21" t="e">
        <f>VLOOKUP($A70,MINASA!$A$1:$BA$1000,52,FALSE)</f>
        <v>#N/A</v>
      </c>
      <c r="J70" s="21" t="e">
        <f>VLOOKUP($A70,MINASA!$A$1:$BA$1000,53,FALSE)</f>
        <v>#N/A</v>
      </c>
      <c r="L70" s="20" t="s">
        <v>14</v>
      </c>
      <c r="M70" s="20" t="s">
        <v>86</v>
      </c>
      <c r="N70" s="20" t="s">
        <v>188</v>
      </c>
    </row>
    <row r="71" spans="1:14" ht="81.75" customHeight="1" thickBot="1">
      <c r="A71" s="20">
        <v>70</v>
      </c>
      <c r="B71" s="24" t="e">
        <f>VLOOKUP($A71,MINASA!$A$1:$BA$1000,10,FALSE)</f>
        <v>#N/A</v>
      </c>
      <c r="C71" s="20" t="e">
        <f t="shared" si="2"/>
        <v>#N/A</v>
      </c>
      <c r="D71" s="20" t="e">
        <f>VLOOKUP($A71,MINASA!$A$1:$BA$1000,27,FALSE)</f>
        <v>#N/A</v>
      </c>
      <c r="E71" s="20" t="e">
        <f>VLOOKUP($A71,MINASA!$A$1:$BA$1000,26,FALSE)</f>
        <v>#N/A</v>
      </c>
      <c r="F71" s="21" t="e">
        <f>VLOOKUP($A71,MINASA!$A$1:$BA$1000,30,FALSE)</f>
        <v>#N/A</v>
      </c>
      <c r="G71" s="20" t="e">
        <f>VLOOKUP($A71,MINASA!$A$1:$BA$1000,31,FALSE)</f>
        <v>#N/A</v>
      </c>
      <c r="H71" s="20" t="e">
        <f>VLOOKUP($A71,MINASA!$A$1:$BA$1000,47,FALSE)</f>
        <v>#N/A</v>
      </c>
      <c r="I71" s="21" t="e">
        <f>VLOOKUP($A71,MINASA!$A$1:$BA$1000,52,FALSE)</f>
        <v>#N/A</v>
      </c>
      <c r="J71" s="21" t="e">
        <f>VLOOKUP($A71,MINASA!$A$1:$BA$1000,53,FALSE)</f>
        <v>#N/A</v>
      </c>
      <c r="L71" s="20" t="s">
        <v>14</v>
      </c>
      <c r="M71" s="20" t="s">
        <v>87</v>
      </c>
      <c r="N71" s="20" t="s">
        <v>189</v>
      </c>
    </row>
    <row r="72" spans="1:14" ht="81.75" customHeight="1" thickBot="1">
      <c r="A72" s="20">
        <v>71</v>
      </c>
      <c r="B72" s="24" t="e">
        <f>VLOOKUP($A72,MINASA!$A$1:$BA$1000,10,FALSE)</f>
        <v>#N/A</v>
      </c>
      <c r="C72" s="20" t="e">
        <f t="shared" si="2"/>
        <v>#N/A</v>
      </c>
      <c r="D72" s="20" t="e">
        <f>VLOOKUP($A72,MINASA!$A$1:$BA$1000,27,FALSE)</f>
        <v>#N/A</v>
      </c>
      <c r="E72" s="20" t="e">
        <f>VLOOKUP($A72,MINASA!$A$1:$BA$1000,26,FALSE)</f>
        <v>#N/A</v>
      </c>
      <c r="F72" s="21" t="e">
        <f>VLOOKUP($A72,MINASA!$A$1:$BA$1000,30,FALSE)</f>
        <v>#N/A</v>
      </c>
      <c r="G72" s="20" t="e">
        <f>VLOOKUP($A72,MINASA!$A$1:$BA$1000,31,FALSE)</f>
        <v>#N/A</v>
      </c>
      <c r="H72" s="20" t="e">
        <f>VLOOKUP($A72,MINASA!$A$1:$BA$1000,47,FALSE)</f>
        <v>#N/A</v>
      </c>
      <c r="I72" s="21" t="e">
        <f>VLOOKUP($A72,MINASA!$A$1:$BA$1000,52,FALSE)</f>
        <v>#N/A</v>
      </c>
      <c r="J72" s="21" t="e">
        <f>VLOOKUP($A72,MINASA!$A$1:$BA$1000,53,FALSE)</f>
        <v>#N/A</v>
      </c>
      <c r="L72" s="20" t="s">
        <v>14</v>
      </c>
      <c r="M72" s="20" t="s">
        <v>88</v>
      </c>
      <c r="N72" s="20" t="s">
        <v>190</v>
      </c>
    </row>
    <row r="73" spans="1:14" ht="81.75" customHeight="1" thickBot="1">
      <c r="A73" s="20">
        <v>72</v>
      </c>
      <c r="B73" s="24" t="e">
        <f>VLOOKUP($A73,MINASA!$A$1:$BA$1000,10,FALSE)</f>
        <v>#N/A</v>
      </c>
      <c r="C73" s="20" t="e">
        <f t="shared" si="2"/>
        <v>#N/A</v>
      </c>
      <c r="D73" s="20" t="e">
        <f>VLOOKUP($A73,MINASA!$A$1:$BA$1000,27,FALSE)</f>
        <v>#N/A</v>
      </c>
      <c r="E73" s="20" t="e">
        <f>VLOOKUP($A73,MINASA!$A$1:$BA$1000,26,FALSE)</f>
        <v>#N/A</v>
      </c>
      <c r="F73" s="21" t="e">
        <f>VLOOKUP($A73,MINASA!$A$1:$BA$1000,30,FALSE)</f>
        <v>#N/A</v>
      </c>
      <c r="G73" s="20" t="e">
        <f>VLOOKUP($A73,MINASA!$A$1:$BA$1000,31,FALSE)</f>
        <v>#N/A</v>
      </c>
      <c r="H73" s="20" t="e">
        <f>VLOOKUP($A73,MINASA!$A$1:$BA$1000,47,FALSE)</f>
        <v>#N/A</v>
      </c>
      <c r="I73" s="21" t="e">
        <f>VLOOKUP($A73,MINASA!$A$1:$BA$1000,52,FALSE)</f>
        <v>#N/A</v>
      </c>
      <c r="J73" s="21" t="e">
        <f>VLOOKUP($A73,MINASA!$A$1:$BA$1000,53,FALSE)</f>
        <v>#N/A</v>
      </c>
      <c r="L73" s="20" t="s">
        <v>14</v>
      </c>
      <c r="M73" s="20" t="s">
        <v>89</v>
      </c>
      <c r="N73" s="20" t="s">
        <v>191</v>
      </c>
    </row>
    <row r="74" spans="1:14" ht="81.75" customHeight="1" thickBot="1">
      <c r="A74" s="20">
        <v>73</v>
      </c>
      <c r="B74" s="24" t="e">
        <f>VLOOKUP($A74,MINASA!$A$1:$BA$1000,10,FALSE)</f>
        <v>#N/A</v>
      </c>
      <c r="C74" s="20" t="e">
        <f t="shared" si="2"/>
        <v>#N/A</v>
      </c>
      <c r="D74" s="20" t="e">
        <f>VLOOKUP($A74,MINASA!$A$1:$BA$1000,27,FALSE)</f>
        <v>#N/A</v>
      </c>
      <c r="E74" s="20" t="e">
        <f>VLOOKUP($A74,MINASA!$A$1:$BA$1000,26,FALSE)</f>
        <v>#N/A</v>
      </c>
      <c r="F74" s="21" t="e">
        <f>VLOOKUP($A74,MINASA!$A$1:$BA$1000,30,FALSE)</f>
        <v>#N/A</v>
      </c>
      <c r="G74" s="20" t="e">
        <f>VLOOKUP($A74,MINASA!$A$1:$BA$1000,31,FALSE)</f>
        <v>#N/A</v>
      </c>
      <c r="H74" s="20" t="e">
        <f>VLOOKUP($A74,MINASA!$A$1:$BA$1000,47,FALSE)</f>
        <v>#N/A</v>
      </c>
      <c r="I74" s="21" t="e">
        <f>VLOOKUP($A74,MINASA!$A$1:$BA$1000,52,FALSE)</f>
        <v>#N/A</v>
      </c>
      <c r="J74" s="21" t="e">
        <f>VLOOKUP($A74,MINASA!$A$1:$BA$1000,53,FALSE)</f>
        <v>#N/A</v>
      </c>
      <c r="L74" s="20" t="s">
        <v>14</v>
      </c>
      <c r="M74" s="20" t="s">
        <v>90</v>
      </c>
      <c r="N74" s="20" t="s">
        <v>192</v>
      </c>
    </row>
    <row r="75" spans="1:14" ht="81.75" customHeight="1" thickBot="1">
      <c r="A75" s="20">
        <v>74</v>
      </c>
      <c r="B75" s="24" t="e">
        <f>VLOOKUP($A75,MINASA!$A$1:$BA$1000,10,FALSE)</f>
        <v>#N/A</v>
      </c>
      <c r="C75" s="20" t="e">
        <f t="shared" si="2"/>
        <v>#N/A</v>
      </c>
      <c r="D75" s="20" t="e">
        <f>VLOOKUP($A75,MINASA!$A$1:$BA$1000,27,FALSE)</f>
        <v>#N/A</v>
      </c>
      <c r="E75" s="20" t="e">
        <f>VLOOKUP($A75,MINASA!$A$1:$BA$1000,26,FALSE)</f>
        <v>#N/A</v>
      </c>
      <c r="F75" s="21" t="e">
        <f>VLOOKUP($A75,MINASA!$A$1:$BA$1000,30,FALSE)</f>
        <v>#N/A</v>
      </c>
      <c r="G75" s="20" t="e">
        <f>VLOOKUP($A75,MINASA!$A$1:$BA$1000,31,FALSE)</f>
        <v>#N/A</v>
      </c>
      <c r="H75" s="20" t="e">
        <f>VLOOKUP($A75,MINASA!$A$1:$BA$1000,47,FALSE)</f>
        <v>#N/A</v>
      </c>
      <c r="I75" s="21" t="e">
        <f>VLOOKUP($A75,MINASA!$A$1:$BA$1000,52,FALSE)</f>
        <v>#N/A</v>
      </c>
      <c r="J75" s="21" t="e">
        <f>VLOOKUP($A75,MINASA!$A$1:$BA$1000,53,FALSE)</f>
        <v>#N/A</v>
      </c>
      <c r="L75" s="20" t="s">
        <v>14</v>
      </c>
      <c r="M75" s="20" t="s">
        <v>91</v>
      </c>
      <c r="N75" s="20" t="s">
        <v>193</v>
      </c>
    </row>
    <row r="76" spans="1:14" ht="81.75" customHeight="1" thickBot="1">
      <c r="A76" s="20">
        <v>75</v>
      </c>
      <c r="B76" s="24" t="e">
        <f>VLOOKUP($A76,MINASA!$A$1:$BA$1000,10,FALSE)</f>
        <v>#N/A</v>
      </c>
      <c r="C76" s="20" t="e">
        <f t="shared" si="2"/>
        <v>#N/A</v>
      </c>
      <c r="D76" s="20" t="e">
        <f>VLOOKUP($A76,MINASA!$A$1:$BA$1000,27,FALSE)</f>
        <v>#N/A</v>
      </c>
      <c r="E76" s="20" t="e">
        <f>VLOOKUP($A76,MINASA!$A$1:$BA$1000,26,FALSE)</f>
        <v>#N/A</v>
      </c>
      <c r="F76" s="21" t="e">
        <f>VLOOKUP($A76,MINASA!$A$1:$BA$1000,30,FALSE)</f>
        <v>#N/A</v>
      </c>
      <c r="G76" s="20" t="e">
        <f>VLOOKUP($A76,MINASA!$A$1:$BA$1000,31,FALSE)</f>
        <v>#N/A</v>
      </c>
      <c r="H76" s="20" t="e">
        <f>VLOOKUP($A76,MINASA!$A$1:$BA$1000,47,FALSE)</f>
        <v>#N/A</v>
      </c>
      <c r="I76" s="21" t="e">
        <f>VLOOKUP($A76,MINASA!$A$1:$BA$1000,52,FALSE)</f>
        <v>#N/A</v>
      </c>
      <c r="J76" s="21" t="e">
        <f>VLOOKUP($A76,MINASA!$A$1:$BA$1000,53,FALSE)</f>
        <v>#N/A</v>
      </c>
      <c r="L76" s="20" t="s">
        <v>14</v>
      </c>
      <c r="M76" s="20" t="s">
        <v>92</v>
      </c>
      <c r="N76" s="20" t="s">
        <v>194</v>
      </c>
    </row>
    <row r="77" spans="1:14" ht="81.75" customHeight="1" thickBot="1">
      <c r="A77" s="20">
        <v>76</v>
      </c>
      <c r="B77" s="24" t="e">
        <f>VLOOKUP($A77,MINASA!$A$1:$BA$1000,10,FALSE)</f>
        <v>#N/A</v>
      </c>
      <c r="C77" s="20" t="e">
        <f t="shared" si="2"/>
        <v>#N/A</v>
      </c>
      <c r="D77" s="20" t="e">
        <f>VLOOKUP($A77,MINASA!$A$1:$BA$1000,27,FALSE)</f>
        <v>#N/A</v>
      </c>
      <c r="E77" s="20" t="e">
        <f>VLOOKUP($A77,MINASA!$A$1:$BA$1000,26,FALSE)</f>
        <v>#N/A</v>
      </c>
      <c r="F77" s="21" t="e">
        <f>VLOOKUP($A77,MINASA!$A$1:$BA$1000,30,FALSE)</f>
        <v>#N/A</v>
      </c>
      <c r="G77" s="20" t="e">
        <f>VLOOKUP($A77,MINASA!$A$1:$BA$1000,31,FALSE)</f>
        <v>#N/A</v>
      </c>
      <c r="H77" s="20" t="e">
        <f>VLOOKUP($A77,MINASA!$A$1:$BA$1000,47,FALSE)</f>
        <v>#N/A</v>
      </c>
      <c r="I77" s="21" t="e">
        <f>VLOOKUP($A77,MINASA!$A$1:$BA$1000,52,FALSE)</f>
        <v>#N/A</v>
      </c>
      <c r="J77" s="21" t="e">
        <f>VLOOKUP($A77,MINASA!$A$1:$BA$1000,53,FALSE)</f>
        <v>#N/A</v>
      </c>
      <c r="L77" s="20" t="s">
        <v>14</v>
      </c>
      <c r="M77" s="20" t="s">
        <v>93</v>
      </c>
      <c r="N77" s="20" t="s">
        <v>195</v>
      </c>
    </row>
    <row r="78" spans="1:14" ht="81.75" customHeight="1" thickBot="1">
      <c r="A78" s="20">
        <v>77</v>
      </c>
      <c r="B78" s="24" t="e">
        <f>VLOOKUP($A78,MINASA!$A$1:$BA$1000,10,FALSE)</f>
        <v>#N/A</v>
      </c>
      <c r="C78" s="20" t="e">
        <f t="shared" si="2"/>
        <v>#N/A</v>
      </c>
      <c r="D78" s="20" t="e">
        <f>VLOOKUP($A78,MINASA!$A$1:$BA$1000,27,FALSE)</f>
        <v>#N/A</v>
      </c>
      <c r="E78" s="20" t="e">
        <f>VLOOKUP($A78,MINASA!$A$1:$BA$1000,26,FALSE)</f>
        <v>#N/A</v>
      </c>
      <c r="F78" s="21" t="e">
        <f>VLOOKUP($A78,MINASA!$A$1:$BA$1000,30,FALSE)</f>
        <v>#N/A</v>
      </c>
      <c r="G78" s="20" t="e">
        <f>VLOOKUP($A78,MINASA!$A$1:$BA$1000,31,FALSE)</f>
        <v>#N/A</v>
      </c>
      <c r="H78" s="20" t="e">
        <f>VLOOKUP($A78,MINASA!$A$1:$BA$1000,47,FALSE)</f>
        <v>#N/A</v>
      </c>
      <c r="I78" s="21" t="e">
        <f>VLOOKUP($A78,MINASA!$A$1:$BA$1000,52,FALSE)</f>
        <v>#N/A</v>
      </c>
      <c r="J78" s="21" t="e">
        <f>VLOOKUP($A78,MINASA!$A$1:$BA$1000,53,FALSE)</f>
        <v>#N/A</v>
      </c>
      <c r="L78" s="20" t="s">
        <v>14</v>
      </c>
      <c r="M78" s="20" t="s">
        <v>94</v>
      </c>
      <c r="N78" s="20" t="s">
        <v>196</v>
      </c>
    </row>
    <row r="79" spans="1:14" ht="81.75" customHeight="1" thickBot="1">
      <c r="A79" s="20">
        <v>78</v>
      </c>
      <c r="B79" s="24" t="e">
        <f>VLOOKUP($A79,MINASA!$A$1:$BA$1000,10,FALSE)</f>
        <v>#N/A</v>
      </c>
      <c r="C79" s="20" t="e">
        <f t="shared" si="2"/>
        <v>#N/A</v>
      </c>
      <c r="D79" s="20" t="e">
        <f>VLOOKUP($A79,MINASA!$A$1:$BA$1000,27,FALSE)</f>
        <v>#N/A</v>
      </c>
      <c r="E79" s="20" t="e">
        <f>VLOOKUP($A79,MINASA!$A$1:$BA$1000,26,FALSE)</f>
        <v>#N/A</v>
      </c>
      <c r="F79" s="21" t="e">
        <f>VLOOKUP($A79,MINASA!$A$1:$BA$1000,30,FALSE)</f>
        <v>#N/A</v>
      </c>
      <c r="G79" s="20" t="e">
        <f>VLOOKUP($A79,MINASA!$A$1:$BA$1000,31,FALSE)</f>
        <v>#N/A</v>
      </c>
      <c r="H79" s="20" t="e">
        <f>VLOOKUP($A79,MINASA!$A$1:$BA$1000,47,FALSE)</f>
        <v>#N/A</v>
      </c>
      <c r="I79" s="21" t="e">
        <f>VLOOKUP($A79,MINASA!$A$1:$BA$1000,52,FALSE)</f>
        <v>#N/A</v>
      </c>
      <c r="J79" s="21" t="e">
        <f>VLOOKUP($A79,MINASA!$A$1:$BA$1000,53,FALSE)</f>
        <v>#N/A</v>
      </c>
      <c r="L79" s="20" t="s">
        <v>14</v>
      </c>
      <c r="M79" s="20" t="s">
        <v>95</v>
      </c>
      <c r="N79" s="20" t="s">
        <v>197</v>
      </c>
    </row>
    <row r="80" spans="1:14" ht="81.75" customHeight="1" thickBot="1">
      <c r="A80" s="20">
        <v>79</v>
      </c>
      <c r="B80" s="24" t="e">
        <f>VLOOKUP($A80,MINASA!$A$1:$BA$1000,10,FALSE)</f>
        <v>#N/A</v>
      </c>
      <c r="C80" s="20" t="e">
        <f t="shared" si="2"/>
        <v>#N/A</v>
      </c>
      <c r="D80" s="20" t="e">
        <f>VLOOKUP($A80,MINASA!$A$1:$BA$1000,27,FALSE)</f>
        <v>#N/A</v>
      </c>
      <c r="E80" s="20" t="e">
        <f>VLOOKUP($A80,MINASA!$A$1:$BA$1000,26,FALSE)</f>
        <v>#N/A</v>
      </c>
      <c r="F80" s="21" t="e">
        <f>VLOOKUP($A80,MINASA!$A$1:$BA$1000,30,FALSE)</f>
        <v>#N/A</v>
      </c>
      <c r="G80" s="20" t="e">
        <f>VLOOKUP($A80,MINASA!$A$1:$BA$1000,31,FALSE)</f>
        <v>#N/A</v>
      </c>
      <c r="H80" s="20" t="e">
        <f>VLOOKUP($A80,MINASA!$A$1:$BA$1000,47,FALSE)</f>
        <v>#N/A</v>
      </c>
      <c r="I80" s="21" t="e">
        <f>VLOOKUP($A80,MINASA!$A$1:$BA$1000,52,FALSE)</f>
        <v>#N/A</v>
      </c>
      <c r="J80" s="21" t="e">
        <f>VLOOKUP($A80,MINASA!$A$1:$BA$1000,53,FALSE)</f>
        <v>#N/A</v>
      </c>
      <c r="L80" s="20" t="s">
        <v>14</v>
      </c>
      <c r="M80" s="20" t="s">
        <v>96</v>
      </c>
      <c r="N80" s="20" t="s">
        <v>198</v>
      </c>
    </row>
    <row r="81" spans="1:14" ht="81.75" customHeight="1" thickBot="1">
      <c r="A81" s="20">
        <v>80</v>
      </c>
      <c r="B81" s="24" t="e">
        <f>VLOOKUP($A81,MINASA!$A$1:$BA$1000,10,FALSE)</f>
        <v>#N/A</v>
      </c>
      <c r="C81" s="20" t="e">
        <f t="shared" si="2"/>
        <v>#N/A</v>
      </c>
      <c r="D81" s="20" t="e">
        <f>VLOOKUP($A81,MINASA!$A$1:$BA$1000,27,FALSE)</f>
        <v>#N/A</v>
      </c>
      <c r="E81" s="20" t="e">
        <f>VLOOKUP($A81,MINASA!$A$1:$BA$1000,26,FALSE)</f>
        <v>#N/A</v>
      </c>
      <c r="F81" s="21" t="e">
        <f>VLOOKUP($A81,MINASA!$A$1:$BA$1000,30,FALSE)</f>
        <v>#N/A</v>
      </c>
      <c r="G81" s="20" t="e">
        <f>VLOOKUP($A81,MINASA!$A$1:$BA$1000,31,FALSE)</f>
        <v>#N/A</v>
      </c>
      <c r="H81" s="20" t="e">
        <f>VLOOKUP($A81,MINASA!$A$1:$BA$1000,47,FALSE)</f>
        <v>#N/A</v>
      </c>
      <c r="I81" s="21" t="e">
        <f>VLOOKUP($A81,MINASA!$A$1:$BA$1000,52,FALSE)</f>
        <v>#N/A</v>
      </c>
      <c r="J81" s="21" t="e">
        <f>VLOOKUP($A81,MINASA!$A$1:$BA$1000,53,FALSE)</f>
        <v>#N/A</v>
      </c>
      <c r="L81" s="20" t="s">
        <v>14</v>
      </c>
      <c r="M81" s="20" t="s">
        <v>97</v>
      </c>
      <c r="N81" s="20" t="s">
        <v>199</v>
      </c>
    </row>
    <row r="82" spans="1:14" ht="81.75" customHeight="1" thickBot="1">
      <c r="A82" s="20">
        <v>81</v>
      </c>
      <c r="B82" s="24" t="e">
        <f>VLOOKUP($A82,MINASA!$A$1:$BA$1000,10,FALSE)</f>
        <v>#N/A</v>
      </c>
      <c r="C82" s="20" t="e">
        <f t="shared" si="2"/>
        <v>#N/A</v>
      </c>
      <c r="D82" s="20" t="e">
        <f>VLOOKUP($A82,MINASA!$A$1:$BA$1000,27,FALSE)</f>
        <v>#N/A</v>
      </c>
      <c r="E82" s="20" t="e">
        <f>VLOOKUP($A82,MINASA!$A$1:$BA$1000,26,FALSE)</f>
        <v>#N/A</v>
      </c>
      <c r="F82" s="21" t="e">
        <f>VLOOKUP($A82,MINASA!$A$1:$BA$1000,30,FALSE)</f>
        <v>#N/A</v>
      </c>
      <c r="G82" s="20" t="e">
        <f>VLOOKUP($A82,MINASA!$A$1:$BA$1000,31,FALSE)</f>
        <v>#N/A</v>
      </c>
      <c r="H82" s="20" t="e">
        <f>VLOOKUP($A82,MINASA!$A$1:$BA$1000,47,FALSE)</f>
        <v>#N/A</v>
      </c>
      <c r="I82" s="21" t="e">
        <f>VLOOKUP($A82,MINASA!$A$1:$BA$1000,52,FALSE)</f>
        <v>#N/A</v>
      </c>
      <c r="J82" s="21" t="e">
        <f>VLOOKUP($A82,MINASA!$A$1:$BA$1000,53,FALSE)</f>
        <v>#N/A</v>
      </c>
      <c r="L82" s="20" t="s">
        <v>14</v>
      </c>
      <c r="M82" s="20" t="s">
        <v>98</v>
      </c>
      <c r="N82" s="20" t="s">
        <v>200</v>
      </c>
    </row>
    <row r="83" spans="1:14" ht="81.75" customHeight="1" thickBot="1">
      <c r="A83" s="20">
        <v>82</v>
      </c>
      <c r="B83" s="24" t="e">
        <f>VLOOKUP($A83,MINASA!$A$1:$BA$1000,10,FALSE)</f>
        <v>#N/A</v>
      </c>
      <c r="C83" s="20" t="e">
        <f t="shared" si="2"/>
        <v>#N/A</v>
      </c>
      <c r="D83" s="20" t="e">
        <f>VLOOKUP($A83,MINASA!$A$1:$BA$1000,27,FALSE)</f>
        <v>#N/A</v>
      </c>
      <c r="E83" s="20" t="e">
        <f>VLOOKUP($A83,MINASA!$A$1:$BA$1000,26,FALSE)</f>
        <v>#N/A</v>
      </c>
      <c r="F83" s="21" t="e">
        <f>VLOOKUP($A83,MINASA!$A$1:$BA$1000,30,FALSE)</f>
        <v>#N/A</v>
      </c>
      <c r="G83" s="20" t="e">
        <f>VLOOKUP($A83,MINASA!$A$1:$BA$1000,31,FALSE)</f>
        <v>#N/A</v>
      </c>
      <c r="H83" s="20" t="e">
        <f>VLOOKUP($A83,MINASA!$A$1:$BA$1000,47,FALSE)</f>
        <v>#N/A</v>
      </c>
      <c r="I83" s="21" t="e">
        <f>VLOOKUP($A83,MINASA!$A$1:$BA$1000,52,FALSE)</f>
        <v>#N/A</v>
      </c>
      <c r="J83" s="21" t="e">
        <f>VLOOKUP($A83,MINASA!$A$1:$BA$1000,53,FALSE)</f>
        <v>#N/A</v>
      </c>
      <c r="L83" s="20" t="s">
        <v>14</v>
      </c>
      <c r="M83" s="20" t="s">
        <v>99</v>
      </c>
      <c r="N83" s="20" t="s">
        <v>201</v>
      </c>
    </row>
    <row r="84" spans="1:14" ht="81.75" customHeight="1" thickBot="1">
      <c r="A84" s="20">
        <v>83</v>
      </c>
      <c r="B84" s="24" t="e">
        <f>VLOOKUP($A84,MINASA!$A$1:$BA$1000,10,FALSE)</f>
        <v>#N/A</v>
      </c>
      <c r="C84" s="20" t="e">
        <f t="shared" si="2"/>
        <v>#N/A</v>
      </c>
      <c r="D84" s="20" t="e">
        <f>VLOOKUP($A84,MINASA!$A$1:$BA$1000,27,FALSE)</f>
        <v>#N/A</v>
      </c>
      <c r="E84" s="20" t="e">
        <f>VLOOKUP($A84,MINASA!$A$1:$BA$1000,26,FALSE)</f>
        <v>#N/A</v>
      </c>
      <c r="F84" s="21" t="e">
        <f>VLOOKUP($A84,MINASA!$A$1:$BA$1000,30,FALSE)</f>
        <v>#N/A</v>
      </c>
      <c r="G84" s="20" t="e">
        <f>VLOOKUP($A84,MINASA!$A$1:$BA$1000,31,FALSE)</f>
        <v>#N/A</v>
      </c>
      <c r="H84" s="20" t="e">
        <f>VLOOKUP($A84,MINASA!$A$1:$BA$1000,47,FALSE)</f>
        <v>#N/A</v>
      </c>
      <c r="I84" s="21" t="e">
        <f>VLOOKUP($A84,MINASA!$A$1:$BA$1000,52,FALSE)</f>
        <v>#N/A</v>
      </c>
      <c r="J84" s="21" t="e">
        <f>VLOOKUP($A84,MINASA!$A$1:$BA$1000,53,FALSE)</f>
        <v>#N/A</v>
      </c>
      <c r="L84" s="20" t="s">
        <v>14</v>
      </c>
      <c r="M84" s="20" t="s">
        <v>100</v>
      </c>
      <c r="N84" s="20" t="s">
        <v>202</v>
      </c>
    </row>
    <row r="85" spans="1:14" ht="81.75" customHeight="1" thickBot="1">
      <c r="A85" s="20">
        <v>84</v>
      </c>
      <c r="B85" s="24" t="e">
        <f>VLOOKUP($A85,MINASA!$A$1:$BA$1000,10,FALSE)</f>
        <v>#N/A</v>
      </c>
      <c r="C85" s="20" t="e">
        <f t="shared" si="2"/>
        <v>#N/A</v>
      </c>
      <c r="D85" s="20" t="e">
        <f>VLOOKUP($A85,MINASA!$A$1:$BA$1000,27,FALSE)</f>
        <v>#N/A</v>
      </c>
      <c r="E85" s="20" t="e">
        <f>VLOOKUP($A85,MINASA!$A$1:$BA$1000,26,FALSE)</f>
        <v>#N/A</v>
      </c>
      <c r="F85" s="21" t="e">
        <f>VLOOKUP($A85,MINASA!$A$1:$BA$1000,30,FALSE)</f>
        <v>#N/A</v>
      </c>
      <c r="G85" s="20" t="e">
        <f>VLOOKUP($A85,MINASA!$A$1:$BA$1000,31,FALSE)</f>
        <v>#N/A</v>
      </c>
      <c r="H85" s="20" t="e">
        <f>VLOOKUP($A85,MINASA!$A$1:$BA$1000,47,FALSE)</f>
        <v>#N/A</v>
      </c>
      <c r="I85" s="21" t="e">
        <f>VLOOKUP($A85,MINASA!$A$1:$BA$1000,52,FALSE)</f>
        <v>#N/A</v>
      </c>
      <c r="J85" s="21" t="e">
        <f>VLOOKUP($A85,MINASA!$A$1:$BA$1000,53,FALSE)</f>
        <v>#N/A</v>
      </c>
      <c r="L85" s="20" t="s">
        <v>14</v>
      </c>
      <c r="M85" s="20" t="s">
        <v>101</v>
      </c>
      <c r="N85" s="20" t="s">
        <v>203</v>
      </c>
    </row>
    <row r="86" spans="1:14" ht="81.75" customHeight="1" thickBot="1">
      <c r="A86" s="20">
        <v>85</v>
      </c>
      <c r="B86" s="24" t="e">
        <f>VLOOKUP($A86,MINASA!$A$1:$BA$1000,10,FALSE)</f>
        <v>#N/A</v>
      </c>
      <c r="C86" s="20" t="e">
        <f t="shared" si="2"/>
        <v>#N/A</v>
      </c>
      <c r="D86" s="20" t="e">
        <f>VLOOKUP($A86,MINASA!$A$1:$BA$1000,27,FALSE)</f>
        <v>#N/A</v>
      </c>
      <c r="E86" s="20" t="e">
        <f>VLOOKUP($A86,MINASA!$A$1:$BA$1000,26,FALSE)</f>
        <v>#N/A</v>
      </c>
      <c r="F86" s="21" t="e">
        <f>VLOOKUP($A86,MINASA!$A$1:$BA$1000,30,FALSE)</f>
        <v>#N/A</v>
      </c>
      <c r="G86" s="20" t="e">
        <f>VLOOKUP($A86,MINASA!$A$1:$BA$1000,31,FALSE)</f>
        <v>#N/A</v>
      </c>
      <c r="H86" s="20" t="e">
        <f>VLOOKUP($A86,MINASA!$A$1:$BA$1000,47,FALSE)</f>
        <v>#N/A</v>
      </c>
      <c r="I86" s="21" t="e">
        <f>VLOOKUP($A86,MINASA!$A$1:$BA$1000,52,FALSE)</f>
        <v>#N/A</v>
      </c>
      <c r="J86" s="21" t="e">
        <f>VLOOKUP($A86,MINASA!$A$1:$BA$1000,53,FALSE)</f>
        <v>#N/A</v>
      </c>
      <c r="L86" s="20" t="s">
        <v>14</v>
      </c>
      <c r="M86" s="20" t="s">
        <v>102</v>
      </c>
      <c r="N86" s="20" t="s">
        <v>204</v>
      </c>
    </row>
    <row r="87" spans="1:14" ht="81.75" customHeight="1" thickBot="1">
      <c r="A87" s="20">
        <v>86</v>
      </c>
      <c r="B87" s="24" t="e">
        <f>VLOOKUP($A87,MINASA!$A$1:$BA$1000,10,FALSE)</f>
        <v>#N/A</v>
      </c>
      <c r="C87" s="20" t="e">
        <f t="shared" si="2"/>
        <v>#N/A</v>
      </c>
      <c r="D87" s="20" t="e">
        <f>VLOOKUP($A87,MINASA!$A$1:$BA$1000,27,FALSE)</f>
        <v>#N/A</v>
      </c>
      <c r="E87" s="20" t="e">
        <f>VLOOKUP($A87,MINASA!$A$1:$BA$1000,26,FALSE)</f>
        <v>#N/A</v>
      </c>
      <c r="F87" s="21" t="e">
        <f>VLOOKUP($A87,MINASA!$A$1:$BA$1000,30,FALSE)</f>
        <v>#N/A</v>
      </c>
      <c r="G87" s="20" t="e">
        <f>VLOOKUP($A87,MINASA!$A$1:$BA$1000,31,FALSE)</f>
        <v>#N/A</v>
      </c>
      <c r="H87" s="20" t="e">
        <f>VLOOKUP($A87,MINASA!$A$1:$BA$1000,47,FALSE)</f>
        <v>#N/A</v>
      </c>
      <c r="I87" s="21" t="e">
        <f>VLOOKUP($A87,MINASA!$A$1:$BA$1000,52,FALSE)</f>
        <v>#N/A</v>
      </c>
      <c r="J87" s="21" t="e">
        <f>VLOOKUP($A87,MINASA!$A$1:$BA$1000,53,FALSE)</f>
        <v>#N/A</v>
      </c>
      <c r="L87" s="20" t="s">
        <v>14</v>
      </c>
      <c r="M87" s="20" t="s">
        <v>103</v>
      </c>
      <c r="N87" s="20" t="s">
        <v>205</v>
      </c>
    </row>
    <row r="88" spans="1:14" ht="81.75" customHeight="1" thickBot="1">
      <c r="A88" s="20">
        <v>87</v>
      </c>
      <c r="B88" s="24" t="e">
        <f>VLOOKUP($A88,MINASA!$A$1:$BA$1000,10,FALSE)</f>
        <v>#N/A</v>
      </c>
      <c r="C88" s="20" t="e">
        <f t="shared" si="2"/>
        <v>#N/A</v>
      </c>
      <c r="D88" s="20" t="e">
        <f>VLOOKUP($A88,MINASA!$A$1:$BA$1000,27,FALSE)</f>
        <v>#N/A</v>
      </c>
      <c r="E88" s="20" t="e">
        <f>VLOOKUP($A88,MINASA!$A$1:$BA$1000,26,FALSE)</f>
        <v>#N/A</v>
      </c>
      <c r="F88" s="21" t="e">
        <f>VLOOKUP($A88,MINASA!$A$1:$BA$1000,30,FALSE)</f>
        <v>#N/A</v>
      </c>
      <c r="G88" s="20" t="e">
        <f>VLOOKUP($A88,MINASA!$A$1:$BA$1000,31,FALSE)</f>
        <v>#N/A</v>
      </c>
      <c r="H88" s="20" t="e">
        <f>VLOOKUP($A88,MINASA!$A$1:$BA$1000,47,FALSE)</f>
        <v>#N/A</v>
      </c>
      <c r="I88" s="21" t="e">
        <f>VLOOKUP($A88,MINASA!$A$1:$BA$1000,52,FALSE)</f>
        <v>#N/A</v>
      </c>
      <c r="J88" s="21" t="e">
        <f>VLOOKUP($A88,MINASA!$A$1:$BA$1000,53,FALSE)</f>
        <v>#N/A</v>
      </c>
      <c r="L88" s="20" t="s">
        <v>14</v>
      </c>
      <c r="M88" s="20" t="s">
        <v>104</v>
      </c>
      <c r="N88" s="20" t="s">
        <v>206</v>
      </c>
    </row>
    <row r="89" spans="1:14" ht="81.75" customHeight="1" thickBot="1">
      <c r="A89" s="20">
        <v>88</v>
      </c>
      <c r="B89" s="24" t="e">
        <f>VLOOKUP($A89,MINASA!$A$1:$BA$1000,10,FALSE)</f>
        <v>#N/A</v>
      </c>
      <c r="C89" s="20" t="e">
        <f t="shared" si="2"/>
        <v>#N/A</v>
      </c>
      <c r="D89" s="20" t="e">
        <f>VLOOKUP($A89,MINASA!$A$1:$BA$1000,27,FALSE)</f>
        <v>#N/A</v>
      </c>
      <c r="E89" s="20" t="e">
        <f>VLOOKUP($A89,MINASA!$A$1:$BA$1000,26,FALSE)</f>
        <v>#N/A</v>
      </c>
      <c r="F89" s="21" t="e">
        <f>VLOOKUP($A89,MINASA!$A$1:$BA$1000,30,FALSE)</f>
        <v>#N/A</v>
      </c>
      <c r="G89" s="20" t="e">
        <f>VLOOKUP($A89,MINASA!$A$1:$BA$1000,31,FALSE)</f>
        <v>#N/A</v>
      </c>
      <c r="H89" s="20" t="e">
        <f>VLOOKUP($A89,MINASA!$A$1:$BA$1000,47,FALSE)</f>
        <v>#N/A</v>
      </c>
      <c r="I89" s="21" t="e">
        <f>VLOOKUP($A89,MINASA!$A$1:$BA$1000,52,FALSE)</f>
        <v>#N/A</v>
      </c>
      <c r="J89" s="21" t="e">
        <f>VLOOKUP($A89,MINASA!$A$1:$BA$1000,53,FALSE)</f>
        <v>#N/A</v>
      </c>
      <c r="L89" s="20" t="s">
        <v>14</v>
      </c>
      <c r="M89" s="20" t="s">
        <v>105</v>
      </c>
      <c r="N89" s="20" t="s">
        <v>207</v>
      </c>
    </row>
    <row r="90" spans="1:14" ht="81.75" customHeight="1" thickBot="1">
      <c r="A90" s="20">
        <v>89</v>
      </c>
      <c r="B90" s="24" t="e">
        <f>VLOOKUP($A90,MINASA!$A$1:$BA$1000,10,FALSE)</f>
        <v>#N/A</v>
      </c>
      <c r="C90" s="20" t="e">
        <f t="shared" si="2"/>
        <v>#N/A</v>
      </c>
      <c r="D90" s="20" t="e">
        <f>VLOOKUP($A90,MINASA!$A$1:$BA$1000,27,FALSE)</f>
        <v>#N/A</v>
      </c>
      <c r="E90" s="20" t="e">
        <f>VLOOKUP($A90,MINASA!$A$1:$BA$1000,26,FALSE)</f>
        <v>#N/A</v>
      </c>
      <c r="F90" s="21" t="e">
        <f>VLOOKUP($A90,MINASA!$A$1:$BA$1000,30,FALSE)</f>
        <v>#N/A</v>
      </c>
      <c r="G90" s="20" t="e">
        <f>VLOOKUP($A90,MINASA!$A$1:$BA$1000,31,FALSE)</f>
        <v>#N/A</v>
      </c>
      <c r="H90" s="20" t="e">
        <f>VLOOKUP($A90,MINASA!$A$1:$BA$1000,47,FALSE)</f>
        <v>#N/A</v>
      </c>
      <c r="I90" s="21" t="e">
        <f>VLOOKUP($A90,MINASA!$A$1:$BA$1000,52,FALSE)</f>
        <v>#N/A</v>
      </c>
      <c r="J90" s="21" t="e">
        <f>VLOOKUP($A90,MINASA!$A$1:$BA$1000,53,FALSE)</f>
        <v>#N/A</v>
      </c>
      <c r="L90" s="20" t="s">
        <v>14</v>
      </c>
      <c r="M90" s="20" t="s">
        <v>106</v>
      </c>
      <c r="N90" s="20" t="s">
        <v>208</v>
      </c>
    </row>
    <row r="91" spans="1:14" ht="81.75" customHeight="1" thickBot="1">
      <c r="A91" s="20">
        <v>90</v>
      </c>
      <c r="B91" s="24" t="e">
        <f>VLOOKUP($A91,MINASA!$A$1:$BA$1000,10,FALSE)</f>
        <v>#N/A</v>
      </c>
      <c r="C91" s="20" t="e">
        <f t="shared" si="2"/>
        <v>#N/A</v>
      </c>
      <c r="D91" s="20" t="e">
        <f>VLOOKUP($A91,MINASA!$A$1:$BA$1000,27,FALSE)</f>
        <v>#N/A</v>
      </c>
      <c r="E91" s="20" t="e">
        <f>VLOOKUP($A91,MINASA!$A$1:$BA$1000,26,FALSE)</f>
        <v>#N/A</v>
      </c>
      <c r="F91" s="21" t="e">
        <f>VLOOKUP($A91,MINASA!$A$1:$BA$1000,30,FALSE)</f>
        <v>#N/A</v>
      </c>
      <c r="G91" s="20" t="e">
        <f>VLOOKUP($A91,MINASA!$A$1:$BA$1000,31,FALSE)</f>
        <v>#N/A</v>
      </c>
      <c r="H91" s="20" t="e">
        <f>VLOOKUP($A91,MINASA!$A$1:$BA$1000,47,FALSE)</f>
        <v>#N/A</v>
      </c>
      <c r="I91" s="21" t="e">
        <f>VLOOKUP($A91,MINASA!$A$1:$BA$1000,52,FALSE)</f>
        <v>#N/A</v>
      </c>
      <c r="J91" s="21" t="e">
        <f>VLOOKUP($A91,MINASA!$A$1:$BA$1000,53,FALSE)</f>
        <v>#N/A</v>
      </c>
      <c r="L91" s="20" t="s">
        <v>14</v>
      </c>
      <c r="M91" s="20" t="s">
        <v>107</v>
      </c>
      <c r="N91" s="20" t="s">
        <v>209</v>
      </c>
    </row>
    <row r="92" spans="1:14" ht="81.75" customHeight="1" thickBot="1">
      <c r="A92" s="20">
        <v>91</v>
      </c>
      <c r="B92" s="24" t="e">
        <f>VLOOKUP($A92,MINASA!$A$1:$BA$1000,10,FALSE)</f>
        <v>#N/A</v>
      </c>
      <c r="C92" s="20" t="e">
        <f t="shared" si="2"/>
        <v>#N/A</v>
      </c>
      <c r="D92" s="20" t="e">
        <f>VLOOKUP($A92,MINASA!$A$1:$BA$1000,27,FALSE)</f>
        <v>#N/A</v>
      </c>
      <c r="E92" s="20" t="e">
        <f>VLOOKUP($A92,MINASA!$A$1:$BA$1000,26,FALSE)</f>
        <v>#N/A</v>
      </c>
      <c r="F92" s="21" t="e">
        <f>VLOOKUP($A92,MINASA!$A$1:$BA$1000,30,FALSE)</f>
        <v>#N/A</v>
      </c>
      <c r="G92" s="20" t="e">
        <f>VLOOKUP($A92,MINASA!$A$1:$BA$1000,31,FALSE)</f>
        <v>#N/A</v>
      </c>
      <c r="H92" s="20" t="e">
        <f>VLOOKUP($A92,MINASA!$A$1:$BA$1000,47,FALSE)</f>
        <v>#N/A</v>
      </c>
      <c r="I92" s="21" t="e">
        <f>VLOOKUP($A92,MINASA!$A$1:$BA$1000,52,FALSE)</f>
        <v>#N/A</v>
      </c>
      <c r="J92" s="21" t="e">
        <f>VLOOKUP($A92,MINASA!$A$1:$BA$1000,53,FALSE)</f>
        <v>#N/A</v>
      </c>
      <c r="L92" s="20" t="s">
        <v>14</v>
      </c>
      <c r="M92" s="20" t="s">
        <v>108</v>
      </c>
      <c r="N92" s="20" t="s">
        <v>210</v>
      </c>
    </row>
    <row r="93" spans="1:14" ht="81.75" customHeight="1" thickBot="1">
      <c r="A93" s="20">
        <v>92</v>
      </c>
      <c r="B93" s="24" t="e">
        <f>VLOOKUP($A93,MINASA!$A$1:$BA$1000,10,FALSE)</f>
        <v>#N/A</v>
      </c>
      <c r="C93" s="20" t="e">
        <f t="shared" si="2"/>
        <v>#N/A</v>
      </c>
      <c r="D93" s="20" t="e">
        <f>VLOOKUP($A93,MINASA!$A$1:$BA$1000,27,FALSE)</f>
        <v>#N/A</v>
      </c>
      <c r="E93" s="20" t="e">
        <f>VLOOKUP($A93,MINASA!$A$1:$BA$1000,26,FALSE)</f>
        <v>#N/A</v>
      </c>
      <c r="F93" s="21" t="e">
        <f>VLOOKUP($A93,MINASA!$A$1:$BA$1000,30,FALSE)</f>
        <v>#N/A</v>
      </c>
      <c r="G93" s="20" t="e">
        <f>VLOOKUP($A93,MINASA!$A$1:$BA$1000,31,FALSE)</f>
        <v>#N/A</v>
      </c>
      <c r="H93" s="20" t="e">
        <f>VLOOKUP($A93,MINASA!$A$1:$BA$1000,47,FALSE)</f>
        <v>#N/A</v>
      </c>
      <c r="I93" s="21" t="e">
        <f>VLOOKUP($A93,MINASA!$A$1:$BA$1000,52,FALSE)</f>
        <v>#N/A</v>
      </c>
      <c r="J93" s="21" t="e">
        <f>VLOOKUP($A93,MINASA!$A$1:$BA$1000,53,FALSE)</f>
        <v>#N/A</v>
      </c>
      <c r="L93" s="20" t="s">
        <v>14</v>
      </c>
      <c r="M93" s="20" t="s">
        <v>109</v>
      </c>
      <c r="N93" s="20" t="s">
        <v>211</v>
      </c>
    </row>
    <row r="94" spans="1:14" ht="81.75" customHeight="1" thickBot="1">
      <c r="A94" s="20">
        <v>93</v>
      </c>
      <c r="B94" s="24" t="e">
        <f>VLOOKUP($A94,MINASA!$A$1:$BA$1000,10,FALSE)</f>
        <v>#N/A</v>
      </c>
      <c r="C94" s="20" t="e">
        <f t="shared" si="2"/>
        <v>#N/A</v>
      </c>
      <c r="D94" s="20" t="e">
        <f>VLOOKUP($A94,MINASA!$A$1:$BA$1000,27,FALSE)</f>
        <v>#N/A</v>
      </c>
      <c r="E94" s="20" t="e">
        <f>VLOOKUP($A94,MINASA!$A$1:$BA$1000,26,FALSE)</f>
        <v>#N/A</v>
      </c>
      <c r="F94" s="21" t="e">
        <f>VLOOKUP($A94,MINASA!$A$1:$BA$1000,30,FALSE)</f>
        <v>#N/A</v>
      </c>
      <c r="G94" s="20" t="e">
        <f>VLOOKUP($A94,MINASA!$A$1:$BA$1000,31,FALSE)</f>
        <v>#N/A</v>
      </c>
      <c r="H94" s="20" t="e">
        <f>VLOOKUP($A94,MINASA!$A$1:$BA$1000,47,FALSE)</f>
        <v>#N/A</v>
      </c>
      <c r="I94" s="21" t="e">
        <f>VLOOKUP($A94,MINASA!$A$1:$BA$1000,52,FALSE)</f>
        <v>#N/A</v>
      </c>
      <c r="J94" s="21" t="e">
        <f>VLOOKUP($A94,MINASA!$A$1:$BA$1000,53,FALSE)</f>
        <v>#N/A</v>
      </c>
      <c r="L94" s="20" t="s">
        <v>14</v>
      </c>
      <c r="M94" s="20" t="s">
        <v>110</v>
      </c>
      <c r="N94" s="20" t="s">
        <v>212</v>
      </c>
    </row>
    <row r="95" spans="1:14" ht="81.75" customHeight="1" thickBot="1">
      <c r="A95" s="20">
        <v>94</v>
      </c>
      <c r="B95" s="24" t="e">
        <f>VLOOKUP($A95,MINASA!$A$1:$BA$1000,10,FALSE)</f>
        <v>#N/A</v>
      </c>
      <c r="C95" s="20" t="e">
        <f t="shared" si="2"/>
        <v>#N/A</v>
      </c>
      <c r="D95" s="20" t="e">
        <f>VLOOKUP($A95,MINASA!$A$1:$BA$1000,27,FALSE)</f>
        <v>#N/A</v>
      </c>
      <c r="E95" s="20" t="e">
        <f>VLOOKUP($A95,MINASA!$A$1:$BA$1000,26,FALSE)</f>
        <v>#N/A</v>
      </c>
      <c r="F95" s="21" t="e">
        <f>VLOOKUP($A95,MINASA!$A$1:$BA$1000,30,FALSE)</f>
        <v>#N/A</v>
      </c>
      <c r="G95" s="20" t="e">
        <f>VLOOKUP($A95,MINASA!$A$1:$BA$1000,31,FALSE)</f>
        <v>#N/A</v>
      </c>
      <c r="H95" s="20" t="e">
        <f>VLOOKUP($A95,MINASA!$A$1:$BA$1000,47,FALSE)</f>
        <v>#N/A</v>
      </c>
      <c r="I95" s="21" t="e">
        <f>VLOOKUP($A95,MINASA!$A$1:$BA$1000,52,FALSE)</f>
        <v>#N/A</v>
      </c>
      <c r="J95" s="21" t="e">
        <f>VLOOKUP($A95,MINASA!$A$1:$BA$1000,53,FALSE)</f>
        <v>#N/A</v>
      </c>
      <c r="L95" s="20" t="s">
        <v>14</v>
      </c>
      <c r="M95" s="20" t="s">
        <v>111</v>
      </c>
      <c r="N95" s="20" t="s">
        <v>213</v>
      </c>
    </row>
    <row r="96" spans="1:14" ht="81.75" customHeight="1" thickBot="1">
      <c r="A96" s="20">
        <v>95</v>
      </c>
      <c r="B96" s="24" t="e">
        <f>VLOOKUP($A96,MINASA!$A$1:$BA$1000,10,FALSE)</f>
        <v>#N/A</v>
      </c>
      <c r="C96" s="20" t="e">
        <f t="shared" si="2"/>
        <v>#N/A</v>
      </c>
      <c r="D96" s="20" t="e">
        <f>VLOOKUP($A96,MINASA!$A$1:$BA$1000,27,FALSE)</f>
        <v>#N/A</v>
      </c>
      <c r="E96" s="20" t="e">
        <f>VLOOKUP($A96,MINASA!$A$1:$BA$1000,26,FALSE)</f>
        <v>#N/A</v>
      </c>
      <c r="F96" s="21" t="e">
        <f>VLOOKUP($A96,MINASA!$A$1:$BA$1000,30,FALSE)</f>
        <v>#N/A</v>
      </c>
      <c r="G96" s="20" t="e">
        <f>VLOOKUP($A96,MINASA!$A$1:$BA$1000,31,FALSE)</f>
        <v>#N/A</v>
      </c>
      <c r="H96" s="20" t="e">
        <f>VLOOKUP($A96,MINASA!$A$1:$BA$1000,47,FALSE)</f>
        <v>#N/A</v>
      </c>
      <c r="I96" s="21" t="e">
        <f>VLOOKUP($A96,MINASA!$A$1:$BA$1000,52,FALSE)</f>
        <v>#N/A</v>
      </c>
      <c r="J96" s="21" t="e">
        <f>VLOOKUP($A96,MINASA!$A$1:$BA$1000,53,FALSE)</f>
        <v>#N/A</v>
      </c>
      <c r="L96" s="20" t="s">
        <v>14</v>
      </c>
      <c r="M96" s="20" t="s">
        <v>112</v>
      </c>
      <c r="N96" s="20" t="s">
        <v>214</v>
      </c>
    </row>
    <row r="97" spans="1:14" ht="81.75" customHeight="1" thickBot="1">
      <c r="A97" s="20">
        <v>96</v>
      </c>
      <c r="B97" s="24" t="e">
        <f>VLOOKUP($A97,MINASA!$A$1:$BA$1000,10,FALSE)</f>
        <v>#N/A</v>
      </c>
      <c r="C97" s="20" t="e">
        <f t="shared" si="2"/>
        <v>#N/A</v>
      </c>
      <c r="D97" s="20" t="e">
        <f>VLOOKUP($A97,MINASA!$A$1:$BA$1000,27,FALSE)</f>
        <v>#N/A</v>
      </c>
      <c r="E97" s="20" t="e">
        <f>VLOOKUP($A97,MINASA!$A$1:$BA$1000,26,FALSE)</f>
        <v>#N/A</v>
      </c>
      <c r="F97" s="21" t="e">
        <f>VLOOKUP($A97,MINASA!$A$1:$BA$1000,30,FALSE)</f>
        <v>#N/A</v>
      </c>
      <c r="G97" s="20" t="e">
        <f>VLOOKUP($A97,MINASA!$A$1:$BA$1000,31,FALSE)</f>
        <v>#N/A</v>
      </c>
      <c r="H97" s="20" t="e">
        <f>VLOOKUP($A97,MINASA!$A$1:$BA$1000,47,FALSE)</f>
        <v>#N/A</v>
      </c>
      <c r="I97" s="21" t="e">
        <f>VLOOKUP($A97,MINASA!$A$1:$BA$1000,52,FALSE)</f>
        <v>#N/A</v>
      </c>
      <c r="J97" s="21" t="e">
        <f>VLOOKUP($A97,MINASA!$A$1:$BA$1000,53,FALSE)</f>
        <v>#N/A</v>
      </c>
      <c r="L97" s="20" t="s">
        <v>14</v>
      </c>
      <c r="M97" s="20" t="s">
        <v>113</v>
      </c>
      <c r="N97" s="20" t="s">
        <v>215</v>
      </c>
    </row>
    <row r="98" spans="1:14" ht="81.75" customHeight="1" thickBot="1">
      <c r="A98" s="20">
        <v>97</v>
      </c>
      <c r="B98" s="24" t="e">
        <f>VLOOKUP($A98,MINASA!$A$1:$BA$1000,10,FALSE)</f>
        <v>#N/A</v>
      </c>
      <c r="C98" s="20" t="e">
        <f t="shared" si="2"/>
        <v>#N/A</v>
      </c>
      <c r="D98" s="20" t="e">
        <f>VLOOKUP($A98,MINASA!$A$1:$BA$1000,27,FALSE)</f>
        <v>#N/A</v>
      </c>
      <c r="E98" s="20" t="e">
        <f>VLOOKUP($A98,MINASA!$A$1:$BA$1000,26,FALSE)</f>
        <v>#N/A</v>
      </c>
      <c r="F98" s="21" t="e">
        <f>VLOOKUP($A98,MINASA!$A$1:$BA$1000,30,FALSE)</f>
        <v>#N/A</v>
      </c>
      <c r="G98" s="20" t="e">
        <f>VLOOKUP($A98,MINASA!$A$1:$BA$1000,31,FALSE)</f>
        <v>#N/A</v>
      </c>
      <c r="H98" s="20" t="e">
        <f>VLOOKUP($A98,MINASA!$A$1:$BA$1000,47,FALSE)</f>
        <v>#N/A</v>
      </c>
      <c r="I98" s="21" t="e">
        <f>VLOOKUP($A98,MINASA!$A$1:$BA$1000,52,FALSE)</f>
        <v>#N/A</v>
      </c>
      <c r="J98" s="21" t="e">
        <f>VLOOKUP($A98,MINASA!$A$1:$BA$1000,53,FALSE)</f>
        <v>#N/A</v>
      </c>
      <c r="L98" s="20" t="s">
        <v>14</v>
      </c>
      <c r="M98" s="20" t="s">
        <v>114</v>
      </c>
      <c r="N98" s="20" t="s">
        <v>216</v>
      </c>
    </row>
    <row r="99" spans="1:14" ht="81.75" customHeight="1" thickBot="1">
      <c r="A99" s="20">
        <v>98</v>
      </c>
      <c r="B99" s="24" t="e">
        <f>VLOOKUP($A99,MINASA!$A$1:$BA$1000,10,FALSE)</f>
        <v>#N/A</v>
      </c>
      <c r="C99" s="20" t="e">
        <f t="shared" si="2"/>
        <v>#N/A</v>
      </c>
      <c r="D99" s="20" t="e">
        <f>VLOOKUP($A99,MINASA!$A$1:$BA$1000,27,FALSE)</f>
        <v>#N/A</v>
      </c>
      <c r="E99" s="20" t="e">
        <f>VLOOKUP($A99,MINASA!$A$1:$BA$1000,26,FALSE)</f>
        <v>#N/A</v>
      </c>
      <c r="F99" s="21" t="e">
        <f>VLOOKUP($A99,MINASA!$A$1:$BA$1000,30,FALSE)</f>
        <v>#N/A</v>
      </c>
      <c r="G99" s="20" t="e">
        <f>VLOOKUP($A99,MINASA!$A$1:$BA$1000,31,FALSE)</f>
        <v>#N/A</v>
      </c>
      <c r="H99" s="20" t="e">
        <f>VLOOKUP($A99,MINASA!$A$1:$BA$1000,47,FALSE)</f>
        <v>#N/A</v>
      </c>
      <c r="I99" s="21" t="e">
        <f>VLOOKUP($A99,MINASA!$A$1:$BA$1000,52,FALSE)</f>
        <v>#N/A</v>
      </c>
      <c r="J99" s="21" t="e">
        <f>VLOOKUP($A99,MINASA!$A$1:$BA$1000,53,FALSE)</f>
        <v>#N/A</v>
      </c>
      <c r="L99" s="20" t="s">
        <v>14</v>
      </c>
      <c r="M99" s="20" t="s">
        <v>115</v>
      </c>
      <c r="N99" s="20" t="s">
        <v>217</v>
      </c>
    </row>
    <row r="100" spans="1:14" ht="81.75" customHeight="1" thickBot="1">
      <c r="A100" s="20">
        <v>99</v>
      </c>
      <c r="B100" s="24" t="e">
        <f>VLOOKUP($A100,MINASA!$A$1:$BA$1000,10,FALSE)</f>
        <v>#N/A</v>
      </c>
      <c r="C100" s="20" t="e">
        <f t="shared" si="2"/>
        <v>#N/A</v>
      </c>
      <c r="D100" s="20" t="e">
        <f>VLOOKUP($A100,MINASA!$A$1:$BA$1000,27,FALSE)</f>
        <v>#N/A</v>
      </c>
      <c r="E100" s="20" t="e">
        <f>VLOOKUP($A100,MINASA!$A$1:$BA$1000,26,FALSE)</f>
        <v>#N/A</v>
      </c>
      <c r="F100" s="21" t="e">
        <f>VLOOKUP($A100,MINASA!$A$1:$BA$1000,30,FALSE)</f>
        <v>#N/A</v>
      </c>
      <c r="G100" s="20" t="e">
        <f>VLOOKUP($A100,MINASA!$A$1:$BA$1000,31,FALSE)</f>
        <v>#N/A</v>
      </c>
      <c r="H100" s="20" t="e">
        <f>VLOOKUP($A100,MINASA!$A$1:$BA$1000,47,FALSE)</f>
        <v>#N/A</v>
      </c>
      <c r="I100" s="21" t="e">
        <f>VLOOKUP($A100,MINASA!$A$1:$BA$1000,52,FALSE)</f>
        <v>#N/A</v>
      </c>
      <c r="J100" s="21" t="e">
        <f>VLOOKUP($A100,MINASA!$A$1:$BA$1000,53,FALSE)</f>
        <v>#N/A</v>
      </c>
      <c r="L100" s="20" t="s">
        <v>14</v>
      </c>
      <c r="M100" s="20" t="s">
        <v>116</v>
      </c>
      <c r="N100" s="20" t="s">
        <v>218</v>
      </c>
    </row>
    <row r="101" spans="1:14" ht="81.75" customHeight="1" thickBot="1">
      <c r="A101" s="20">
        <v>100</v>
      </c>
      <c r="B101" s="24" t="e">
        <f>VLOOKUP($A101,MINASA!$A$1:$BA$1000,10,FALSE)</f>
        <v>#N/A</v>
      </c>
      <c r="C101" s="20" t="e">
        <f t="shared" si="2"/>
        <v>#N/A</v>
      </c>
      <c r="D101" s="20" t="e">
        <f>VLOOKUP($A101,MINASA!$A$1:$BA$1000,27,FALSE)</f>
        <v>#N/A</v>
      </c>
      <c r="E101" s="20" t="e">
        <f>VLOOKUP($A101,MINASA!$A$1:$BA$1000,26,FALSE)</f>
        <v>#N/A</v>
      </c>
      <c r="F101" s="21" t="e">
        <f>VLOOKUP($A101,MINASA!$A$1:$BA$1000,30,FALSE)</f>
        <v>#N/A</v>
      </c>
      <c r="G101" s="20" t="e">
        <f>VLOOKUP($A101,MINASA!$A$1:$BA$1000,31,FALSE)</f>
        <v>#N/A</v>
      </c>
      <c r="H101" s="20" t="e">
        <f>VLOOKUP($A101,MINASA!$A$1:$BA$1000,47,FALSE)</f>
        <v>#N/A</v>
      </c>
      <c r="I101" s="21" t="e">
        <f>VLOOKUP($A101,MINASA!$A$1:$BA$1000,52,FALSE)</f>
        <v>#N/A</v>
      </c>
      <c r="J101" s="21" t="e">
        <f>VLOOKUP($A101,MINASA!$A$1:$BA$1000,53,FALSE)</f>
        <v>#N/A</v>
      </c>
      <c r="L101" s="20" t="s">
        <v>14</v>
      </c>
      <c r="M101" s="20" t="s">
        <v>117</v>
      </c>
      <c r="N101" s="20" t="s">
        <v>219</v>
      </c>
    </row>
    <row r="102" spans="1:14" ht="81.75" customHeight="1" thickBot="1">
      <c r="A102" s="20">
        <v>101</v>
      </c>
      <c r="B102" s="24" t="e">
        <f>VLOOKUP($A102,MINASA!$A$1:$BA$1000,10,FALSE)</f>
        <v>#N/A</v>
      </c>
      <c r="C102" s="20" t="e">
        <f t="shared" si="2"/>
        <v>#N/A</v>
      </c>
      <c r="D102" s="20" t="e">
        <f>VLOOKUP($A102,MINASA!$A$1:$BA$1000,27,FALSE)</f>
        <v>#N/A</v>
      </c>
      <c r="E102" s="20" t="e">
        <f>VLOOKUP($A102,MINASA!$A$1:$BA$1000,26,FALSE)</f>
        <v>#N/A</v>
      </c>
      <c r="F102" s="21" t="e">
        <f>VLOOKUP($A102,MINASA!$A$1:$BA$1000,30,FALSE)</f>
        <v>#N/A</v>
      </c>
      <c r="G102" s="20" t="e">
        <f>VLOOKUP($A102,MINASA!$A$1:$BA$1000,31,FALSE)</f>
        <v>#N/A</v>
      </c>
      <c r="H102" s="20" t="e">
        <f>VLOOKUP($A102,MINASA!$A$1:$BA$1000,47,FALSE)</f>
        <v>#N/A</v>
      </c>
      <c r="I102" s="21" t="e">
        <f>VLOOKUP($A102,MINASA!$A$1:$BA$1000,52,FALSE)</f>
        <v>#N/A</v>
      </c>
      <c r="J102" s="21" t="e">
        <f>VLOOKUP($A102,MINASA!$A$1:$BA$1000,53,FALSE)</f>
        <v>#N/A</v>
      </c>
      <c r="L102" s="20" t="s">
        <v>14</v>
      </c>
      <c r="M102" s="20" t="s">
        <v>118</v>
      </c>
      <c r="N102" s="20" t="s">
        <v>220</v>
      </c>
    </row>
    <row r="103" spans="1:14" ht="81.75" customHeight="1" thickBot="1">
      <c r="A103" s="20">
        <v>102</v>
      </c>
      <c r="B103" s="24" t="e">
        <f>VLOOKUP($A103,MINASA!$A$1:$BA$1000,10,FALSE)</f>
        <v>#N/A</v>
      </c>
      <c r="C103" s="20" t="e">
        <f t="shared" si="2"/>
        <v>#N/A</v>
      </c>
      <c r="D103" s="20" t="e">
        <f>VLOOKUP($A103,MINASA!$A$1:$BA$1000,27,FALSE)</f>
        <v>#N/A</v>
      </c>
      <c r="E103" s="20" t="e">
        <f>VLOOKUP($A103,MINASA!$A$1:$BA$1000,26,FALSE)</f>
        <v>#N/A</v>
      </c>
      <c r="F103" s="21" t="e">
        <f>VLOOKUP($A103,MINASA!$A$1:$BA$1000,30,FALSE)</f>
        <v>#N/A</v>
      </c>
      <c r="G103" s="20" t="e">
        <f>VLOOKUP($A103,MINASA!$A$1:$BA$1000,31,FALSE)</f>
        <v>#N/A</v>
      </c>
      <c r="H103" s="20" t="e">
        <f>VLOOKUP($A103,MINASA!$A$1:$BA$1000,47,FALSE)</f>
        <v>#N/A</v>
      </c>
      <c r="I103" s="21" t="e">
        <f>VLOOKUP($A103,MINASA!$A$1:$BA$1000,52,FALSE)</f>
        <v>#N/A</v>
      </c>
      <c r="J103" s="21" t="e">
        <f>VLOOKUP($A103,MINASA!$A$1:$BA$1000,53,FALSE)</f>
        <v>#N/A</v>
      </c>
      <c r="L103" s="20" t="s">
        <v>14</v>
      </c>
      <c r="M103" s="20" t="s">
        <v>223</v>
      </c>
      <c r="N103" s="20" t="s">
        <v>508</v>
      </c>
    </row>
    <row r="104" spans="1:14" ht="81.75" customHeight="1" thickBot="1">
      <c r="A104" s="20">
        <v>103</v>
      </c>
      <c r="B104" s="24" t="e">
        <f>VLOOKUP($A104,MINASA!$A$1:$BA$1000,10,FALSE)</f>
        <v>#N/A</v>
      </c>
      <c r="C104" s="20" t="e">
        <f t="shared" si="2"/>
        <v>#N/A</v>
      </c>
      <c r="D104" s="20" t="e">
        <f>VLOOKUP($A104,MINASA!$A$1:$BA$1000,27,FALSE)</f>
        <v>#N/A</v>
      </c>
      <c r="E104" s="20" t="e">
        <f>VLOOKUP($A104,MINASA!$A$1:$BA$1000,26,FALSE)</f>
        <v>#N/A</v>
      </c>
      <c r="F104" s="21" t="e">
        <f>VLOOKUP($A104,MINASA!$A$1:$BA$1000,30,FALSE)</f>
        <v>#N/A</v>
      </c>
      <c r="G104" s="20" t="e">
        <f>VLOOKUP($A104,MINASA!$A$1:$BA$1000,31,FALSE)</f>
        <v>#N/A</v>
      </c>
      <c r="H104" s="20" t="e">
        <f>VLOOKUP($A104,MINASA!$A$1:$BA$1000,47,FALSE)</f>
        <v>#N/A</v>
      </c>
      <c r="I104" s="21" t="e">
        <f>VLOOKUP($A104,MINASA!$A$1:$BA$1000,52,FALSE)</f>
        <v>#N/A</v>
      </c>
      <c r="J104" s="21" t="e">
        <f>VLOOKUP($A104,MINASA!$A$1:$BA$1000,53,FALSE)</f>
        <v>#N/A</v>
      </c>
      <c r="L104" s="20" t="s">
        <v>14</v>
      </c>
      <c r="M104" s="20" t="e">
        <f>CONCATENATE(L104,C104,".jpg")</f>
        <v>#N/A</v>
      </c>
      <c r="N104" s="20" t="s">
        <v>224</v>
      </c>
    </row>
    <row r="105" spans="1:14" ht="81.75" customHeight="1" thickBot="1">
      <c r="A105" s="20">
        <v>104</v>
      </c>
      <c r="B105" s="24" t="e">
        <f>VLOOKUP($A105,MINASA!$A$1:$BA$1000,10,FALSE)</f>
        <v>#N/A</v>
      </c>
      <c r="C105" s="20" t="e">
        <f t="shared" si="2"/>
        <v>#N/A</v>
      </c>
      <c r="D105" s="20" t="e">
        <f>VLOOKUP($A105,MINASA!$A$1:$BA$1000,27,FALSE)</f>
        <v>#N/A</v>
      </c>
      <c r="E105" s="20" t="e">
        <f>VLOOKUP($A105,MINASA!$A$1:$BA$1000,26,FALSE)</f>
        <v>#N/A</v>
      </c>
      <c r="F105" s="21" t="e">
        <f>VLOOKUP($A105,MINASA!$A$1:$BA$1000,30,FALSE)</f>
        <v>#N/A</v>
      </c>
      <c r="G105" s="20" t="e">
        <f>VLOOKUP($A105,MINASA!$A$1:$BA$1000,31,FALSE)</f>
        <v>#N/A</v>
      </c>
      <c r="H105" s="20" t="e">
        <f>VLOOKUP($A105,MINASA!$A$1:$BA$1000,47,FALSE)</f>
        <v>#N/A</v>
      </c>
      <c r="I105" s="21" t="e">
        <f>VLOOKUP($A105,MINASA!$A$1:$BA$1000,52,FALSE)</f>
        <v>#N/A</v>
      </c>
      <c r="J105" s="21" t="e">
        <f>VLOOKUP($A105,MINASA!$A$1:$BA$1000,53,FALSE)</f>
        <v>#N/A</v>
      </c>
      <c r="L105" s="20" t="s">
        <v>14</v>
      </c>
      <c r="M105" s="20" t="e">
        <f>CONCATENATE(L105,C105,".jpg")</f>
        <v>#N/A</v>
      </c>
      <c r="N105" s="20" t="s">
        <v>225</v>
      </c>
    </row>
    <row r="106" spans="1:14" ht="81.75" customHeight="1" thickBot="1">
      <c r="A106" s="20">
        <v>105</v>
      </c>
      <c r="B106" s="24" t="e">
        <f>VLOOKUP($A106,MINASA!$A$1:$BA$1000,10,FALSE)</f>
        <v>#N/A</v>
      </c>
      <c r="C106" s="20" t="e">
        <f t="shared" si="2"/>
        <v>#N/A</v>
      </c>
      <c r="D106" s="20" t="e">
        <f>VLOOKUP($A106,MINASA!$A$1:$BA$1000,27,FALSE)</f>
        <v>#N/A</v>
      </c>
      <c r="E106" s="20" t="e">
        <f>VLOOKUP($A106,MINASA!$A$1:$BA$1000,26,FALSE)</f>
        <v>#N/A</v>
      </c>
      <c r="F106" s="21" t="e">
        <f>VLOOKUP($A106,MINASA!$A$1:$BA$1000,30,FALSE)</f>
        <v>#N/A</v>
      </c>
      <c r="G106" s="20" t="e">
        <f>VLOOKUP($A106,MINASA!$A$1:$BA$1000,31,FALSE)</f>
        <v>#N/A</v>
      </c>
      <c r="H106" s="20" t="e">
        <f>VLOOKUP($A106,MINASA!$A$1:$BA$1000,47,FALSE)</f>
        <v>#N/A</v>
      </c>
      <c r="I106" s="21" t="e">
        <f>VLOOKUP($A106,MINASA!$A$1:$BA$1000,52,FALSE)</f>
        <v>#N/A</v>
      </c>
      <c r="J106" s="21" t="e">
        <f>VLOOKUP($A106,MINASA!$A$1:$BA$1000,53,FALSE)</f>
        <v>#N/A</v>
      </c>
      <c r="L106" s="20" t="s">
        <v>14</v>
      </c>
      <c r="M106" s="20" t="e">
        <f t="shared" ref="M106:M169" si="3">CONCATENATE(L106,C106,".jpg")</f>
        <v>#N/A</v>
      </c>
      <c r="N106" s="20" t="s">
        <v>226</v>
      </c>
    </row>
    <row r="107" spans="1:14" ht="81.75" customHeight="1" thickBot="1">
      <c r="A107" s="20">
        <v>106</v>
      </c>
      <c r="B107" s="24" t="e">
        <f>VLOOKUP($A107,MINASA!$A$1:$BA$1000,10,FALSE)</f>
        <v>#N/A</v>
      </c>
      <c r="C107" s="20" t="e">
        <f t="shared" si="2"/>
        <v>#N/A</v>
      </c>
      <c r="D107" s="20" t="e">
        <f>VLOOKUP($A107,MINASA!$A$1:$BA$1000,27,FALSE)</f>
        <v>#N/A</v>
      </c>
      <c r="E107" s="20" t="e">
        <f>VLOOKUP($A107,MINASA!$A$1:$BA$1000,26,FALSE)</f>
        <v>#N/A</v>
      </c>
      <c r="F107" s="21" t="e">
        <f>VLOOKUP($A107,MINASA!$A$1:$BA$1000,30,FALSE)</f>
        <v>#N/A</v>
      </c>
      <c r="G107" s="20" t="e">
        <f>VLOOKUP($A107,MINASA!$A$1:$BA$1000,31,FALSE)</f>
        <v>#N/A</v>
      </c>
      <c r="H107" s="20" t="e">
        <f>VLOOKUP($A107,MINASA!$A$1:$BA$1000,47,FALSE)</f>
        <v>#N/A</v>
      </c>
      <c r="I107" s="21" t="e">
        <f>VLOOKUP($A107,MINASA!$A$1:$BA$1000,52,FALSE)</f>
        <v>#N/A</v>
      </c>
      <c r="J107" s="21" t="e">
        <f>VLOOKUP($A107,MINASA!$A$1:$BA$1000,53,FALSE)</f>
        <v>#N/A</v>
      </c>
      <c r="L107" s="20" t="s">
        <v>14</v>
      </c>
      <c r="M107" s="20" t="e">
        <f t="shared" si="3"/>
        <v>#N/A</v>
      </c>
      <c r="N107" s="20" t="s">
        <v>227</v>
      </c>
    </row>
    <row r="108" spans="1:14" ht="81.75" customHeight="1" thickBot="1">
      <c r="A108" s="20">
        <v>107</v>
      </c>
      <c r="B108" s="24" t="e">
        <f>VLOOKUP($A108,MINASA!$A$1:$BA$1000,10,FALSE)</f>
        <v>#N/A</v>
      </c>
      <c r="C108" s="20" t="e">
        <f t="shared" si="2"/>
        <v>#N/A</v>
      </c>
      <c r="D108" s="20" t="e">
        <f>VLOOKUP($A108,MINASA!$A$1:$BA$1000,27,FALSE)</f>
        <v>#N/A</v>
      </c>
      <c r="E108" s="20" t="e">
        <f>VLOOKUP($A108,MINASA!$A$1:$BA$1000,26,FALSE)</f>
        <v>#N/A</v>
      </c>
      <c r="F108" s="21" t="e">
        <f>VLOOKUP($A108,MINASA!$A$1:$BA$1000,30,FALSE)</f>
        <v>#N/A</v>
      </c>
      <c r="G108" s="20" t="e">
        <f>VLOOKUP($A108,MINASA!$A$1:$BA$1000,31,FALSE)</f>
        <v>#N/A</v>
      </c>
      <c r="H108" s="20" t="e">
        <f>VLOOKUP($A108,MINASA!$A$1:$BA$1000,47,FALSE)</f>
        <v>#N/A</v>
      </c>
      <c r="I108" s="21" t="e">
        <f>VLOOKUP($A108,MINASA!$A$1:$BA$1000,52,FALSE)</f>
        <v>#N/A</v>
      </c>
      <c r="J108" s="21" t="e">
        <f>VLOOKUP($A108,MINASA!$A$1:$BA$1000,53,FALSE)</f>
        <v>#N/A</v>
      </c>
      <c r="L108" s="20" t="s">
        <v>14</v>
      </c>
      <c r="M108" s="20" t="e">
        <f t="shared" si="3"/>
        <v>#N/A</v>
      </c>
      <c r="N108" s="20" t="s">
        <v>228</v>
      </c>
    </row>
    <row r="109" spans="1:14" ht="81.75" customHeight="1" thickBot="1">
      <c r="A109" s="20">
        <v>108</v>
      </c>
      <c r="B109" s="24" t="e">
        <f>VLOOKUP($A109,MINASA!$A$1:$BA$1000,10,FALSE)</f>
        <v>#N/A</v>
      </c>
      <c r="C109" s="20" t="e">
        <f t="shared" si="2"/>
        <v>#N/A</v>
      </c>
      <c r="D109" s="20" t="e">
        <f>VLOOKUP($A109,MINASA!$A$1:$BA$1000,27,FALSE)</f>
        <v>#N/A</v>
      </c>
      <c r="E109" s="20" t="e">
        <f>VLOOKUP($A109,MINASA!$A$1:$BA$1000,26,FALSE)</f>
        <v>#N/A</v>
      </c>
      <c r="F109" s="21" t="e">
        <f>VLOOKUP($A109,MINASA!$A$1:$BA$1000,30,FALSE)</f>
        <v>#N/A</v>
      </c>
      <c r="G109" s="20" t="e">
        <f>VLOOKUP($A109,MINASA!$A$1:$BA$1000,31,FALSE)</f>
        <v>#N/A</v>
      </c>
      <c r="H109" s="20" t="e">
        <f>VLOOKUP($A109,MINASA!$A$1:$BA$1000,47,FALSE)</f>
        <v>#N/A</v>
      </c>
      <c r="I109" s="21" t="e">
        <f>VLOOKUP($A109,MINASA!$A$1:$BA$1000,52,FALSE)</f>
        <v>#N/A</v>
      </c>
      <c r="J109" s="21" t="e">
        <f>VLOOKUP($A109,MINASA!$A$1:$BA$1000,53,FALSE)</f>
        <v>#N/A</v>
      </c>
      <c r="L109" s="20" t="s">
        <v>14</v>
      </c>
      <c r="M109" s="20" t="e">
        <f t="shared" si="3"/>
        <v>#N/A</v>
      </c>
      <c r="N109" s="20" t="s">
        <v>229</v>
      </c>
    </row>
    <row r="110" spans="1:14" ht="81.75" customHeight="1" thickBot="1">
      <c r="A110" s="20">
        <v>109</v>
      </c>
      <c r="B110" s="24" t="e">
        <f>VLOOKUP($A110,MINASA!$A$1:$BA$1000,10,FALSE)</f>
        <v>#N/A</v>
      </c>
      <c r="C110" s="20" t="e">
        <f t="shared" si="2"/>
        <v>#N/A</v>
      </c>
      <c r="D110" s="20" t="e">
        <f>VLOOKUP($A110,MINASA!$A$1:$BA$1000,27,FALSE)</f>
        <v>#N/A</v>
      </c>
      <c r="E110" s="20" t="e">
        <f>VLOOKUP($A110,MINASA!$A$1:$BA$1000,26,FALSE)</f>
        <v>#N/A</v>
      </c>
      <c r="F110" s="21" t="e">
        <f>VLOOKUP($A110,MINASA!$A$1:$BA$1000,30,FALSE)</f>
        <v>#N/A</v>
      </c>
      <c r="G110" s="20" t="e">
        <f>VLOOKUP($A110,MINASA!$A$1:$BA$1000,31,FALSE)</f>
        <v>#N/A</v>
      </c>
      <c r="H110" s="20" t="e">
        <f>VLOOKUP($A110,MINASA!$A$1:$BA$1000,47,FALSE)</f>
        <v>#N/A</v>
      </c>
      <c r="I110" s="21" t="e">
        <f>VLOOKUP($A110,MINASA!$A$1:$BA$1000,52,FALSE)</f>
        <v>#N/A</v>
      </c>
      <c r="J110" s="21" t="e">
        <f>VLOOKUP($A110,MINASA!$A$1:$BA$1000,53,FALSE)</f>
        <v>#N/A</v>
      </c>
      <c r="L110" s="20" t="s">
        <v>14</v>
      </c>
      <c r="M110" s="20" t="e">
        <f t="shared" si="3"/>
        <v>#N/A</v>
      </c>
      <c r="N110" s="20" t="s">
        <v>230</v>
      </c>
    </row>
    <row r="111" spans="1:14" ht="81.75" customHeight="1" thickBot="1">
      <c r="A111" s="20">
        <v>110</v>
      </c>
      <c r="B111" s="24" t="e">
        <f>VLOOKUP($A111,MINASA!$A$1:$BA$1000,10,FALSE)</f>
        <v>#N/A</v>
      </c>
      <c r="C111" s="20" t="e">
        <f t="shared" si="2"/>
        <v>#N/A</v>
      </c>
      <c r="D111" s="20" t="e">
        <f>VLOOKUP($A111,MINASA!$A$1:$BA$1000,27,FALSE)</f>
        <v>#N/A</v>
      </c>
      <c r="E111" s="20" t="e">
        <f>VLOOKUP($A111,MINASA!$A$1:$BA$1000,26,FALSE)</f>
        <v>#N/A</v>
      </c>
      <c r="F111" s="21" t="e">
        <f>VLOOKUP($A111,MINASA!$A$1:$BA$1000,30,FALSE)</f>
        <v>#N/A</v>
      </c>
      <c r="G111" s="20" t="e">
        <f>VLOOKUP($A111,MINASA!$A$1:$BA$1000,31,FALSE)</f>
        <v>#N/A</v>
      </c>
      <c r="H111" s="20" t="e">
        <f>VLOOKUP($A111,MINASA!$A$1:$BA$1000,47,FALSE)</f>
        <v>#N/A</v>
      </c>
      <c r="I111" s="21" t="e">
        <f>VLOOKUP($A111,MINASA!$A$1:$BA$1000,52,FALSE)</f>
        <v>#N/A</v>
      </c>
      <c r="J111" s="21" t="e">
        <f>VLOOKUP($A111,MINASA!$A$1:$BA$1000,53,FALSE)</f>
        <v>#N/A</v>
      </c>
      <c r="L111" s="20" t="s">
        <v>14</v>
      </c>
      <c r="M111" s="20" t="e">
        <f t="shared" si="3"/>
        <v>#N/A</v>
      </c>
      <c r="N111" s="20" t="s">
        <v>231</v>
      </c>
    </row>
    <row r="112" spans="1:14" ht="81.75" customHeight="1" thickBot="1">
      <c r="A112" s="20">
        <v>111</v>
      </c>
      <c r="B112" s="24" t="e">
        <f>VLOOKUP($A112,MINASA!$A$1:$BA$1000,10,FALSE)</f>
        <v>#N/A</v>
      </c>
      <c r="C112" s="20" t="e">
        <f t="shared" si="2"/>
        <v>#N/A</v>
      </c>
      <c r="D112" s="20" t="e">
        <f>VLOOKUP($A112,MINASA!$A$1:$BA$1000,27,FALSE)</f>
        <v>#N/A</v>
      </c>
      <c r="E112" s="20" t="e">
        <f>VLOOKUP($A112,MINASA!$A$1:$BA$1000,26,FALSE)</f>
        <v>#N/A</v>
      </c>
      <c r="F112" s="21" t="e">
        <f>VLOOKUP($A112,MINASA!$A$1:$BA$1000,30,FALSE)</f>
        <v>#N/A</v>
      </c>
      <c r="G112" s="20" t="e">
        <f>VLOOKUP($A112,MINASA!$A$1:$BA$1000,31,FALSE)</f>
        <v>#N/A</v>
      </c>
      <c r="H112" s="20" t="e">
        <f>VLOOKUP($A112,MINASA!$A$1:$BA$1000,47,FALSE)</f>
        <v>#N/A</v>
      </c>
      <c r="I112" s="21" t="e">
        <f>VLOOKUP($A112,MINASA!$A$1:$BA$1000,52,FALSE)</f>
        <v>#N/A</v>
      </c>
      <c r="J112" s="21" t="e">
        <f>VLOOKUP($A112,MINASA!$A$1:$BA$1000,53,FALSE)</f>
        <v>#N/A</v>
      </c>
      <c r="L112" s="20" t="s">
        <v>14</v>
      </c>
      <c r="M112" s="20" t="e">
        <f t="shared" si="3"/>
        <v>#N/A</v>
      </c>
      <c r="N112" s="20" t="s">
        <v>232</v>
      </c>
    </row>
    <row r="113" spans="1:14" ht="81.75" customHeight="1" thickBot="1">
      <c r="A113" s="20">
        <v>112</v>
      </c>
      <c r="B113" s="24" t="e">
        <f>VLOOKUP($A113,MINASA!$A$1:$BA$1000,10,FALSE)</f>
        <v>#N/A</v>
      </c>
      <c r="C113" s="20" t="e">
        <f t="shared" si="2"/>
        <v>#N/A</v>
      </c>
      <c r="D113" s="20" t="e">
        <f>VLOOKUP($A113,MINASA!$A$1:$BA$1000,27,FALSE)</f>
        <v>#N/A</v>
      </c>
      <c r="E113" s="20" t="e">
        <f>VLOOKUP($A113,MINASA!$A$1:$BA$1000,26,FALSE)</f>
        <v>#N/A</v>
      </c>
      <c r="F113" s="21" t="e">
        <f>VLOOKUP($A113,MINASA!$A$1:$BA$1000,30,FALSE)</f>
        <v>#N/A</v>
      </c>
      <c r="G113" s="20" t="e">
        <f>VLOOKUP($A113,MINASA!$A$1:$BA$1000,31,FALSE)</f>
        <v>#N/A</v>
      </c>
      <c r="H113" s="20" t="e">
        <f>VLOOKUP($A113,MINASA!$A$1:$BA$1000,47,FALSE)</f>
        <v>#N/A</v>
      </c>
      <c r="I113" s="21" t="e">
        <f>VLOOKUP($A113,MINASA!$A$1:$BA$1000,52,FALSE)</f>
        <v>#N/A</v>
      </c>
      <c r="J113" s="21" t="e">
        <f>VLOOKUP($A113,MINASA!$A$1:$BA$1000,53,FALSE)</f>
        <v>#N/A</v>
      </c>
      <c r="L113" s="20" t="s">
        <v>14</v>
      </c>
      <c r="M113" s="20" t="e">
        <f t="shared" si="3"/>
        <v>#N/A</v>
      </c>
      <c r="N113" s="20" t="s">
        <v>233</v>
      </c>
    </row>
    <row r="114" spans="1:14" ht="81.75" customHeight="1" thickBot="1">
      <c r="A114" s="20">
        <v>113</v>
      </c>
      <c r="B114" s="24" t="e">
        <f>VLOOKUP($A114,MINASA!$A$1:$BA$1000,10,FALSE)</f>
        <v>#N/A</v>
      </c>
      <c r="C114" s="20" t="e">
        <f t="shared" si="2"/>
        <v>#N/A</v>
      </c>
      <c r="D114" s="20" t="e">
        <f>VLOOKUP($A114,MINASA!$A$1:$BA$1000,27,FALSE)</f>
        <v>#N/A</v>
      </c>
      <c r="E114" s="20" t="e">
        <f>VLOOKUP($A114,MINASA!$A$1:$BA$1000,26,FALSE)</f>
        <v>#N/A</v>
      </c>
      <c r="F114" s="21" t="e">
        <f>VLOOKUP($A114,MINASA!$A$1:$BA$1000,30,FALSE)</f>
        <v>#N/A</v>
      </c>
      <c r="G114" s="20" t="e">
        <f>VLOOKUP($A114,MINASA!$A$1:$BA$1000,31,FALSE)</f>
        <v>#N/A</v>
      </c>
      <c r="H114" s="20" t="e">
        <f>VLOOKUP($A114,MINASA!$A$1:$BA$1000,47,FALSE)</f>
        <v>#N/A</v>
      </c>
      <c r="I114" s="21" t="e">
        <f>VLOOKUP($A114,MINASA!$A$1:$BA$1000,52,FALSE)</f>
        <v>#N/A</v>
      </c>
      <c r="J114" s="21" t="e">
        <f>VLOOKUP($A114,MINASA!$A$1:$BA$1000,53,FALSE)</f>
        <v>#N/A</v>
      </c>
      <c r="L114" s="20" t="s">
        <v>14</v>
      </c>
      <c r="M114" s="20" t="e">
        <f t="shared" si="3"/>
        <v>#N/A</v>
      </c>
      <c r="N114" s="20" t="s">
        <v>234</v>
      </c>
    </row>
    <row r="115" spans="1:14" ht="81.75" customHeight="1" thickBot="1">
      <c r="A115" s="20">
        <v>114</v>
      </c>
      <c r="B115" s="24" t="e">
        <f>VLOOKUP($A115,MINASA!$A$1:$BA$1000,10,FALSE)</f>
        <v>#N/A</v>
      </c>
      <c r="C115" s="20" t="e">
        <f t="shared" si="2"/>
        <v>#N/A</v>
      </c>
      <c r="D115" s="20" t="e">
        <f>VLOOKUP($A115,MINASA!$A$1:$BA$1000,27,FALSE)</f>
        <v>#N/A</v>
      </c>
      <c r="E115" s="20" t="e">
        <f>VLOOKUP($A115,MINASA!$A$1:$BA$1000,26,FALSE)</f>
        <v>#N/A</v>
      </c>
      <c r="F115" s="21" t="e">
        <f>VLOOKUP($A115,MINASA!$A$1:$BA$1000,30,FALSE)</f>
        <v>#N/A</v>
      </c>
      <c r="G115" s="20" t="e">
        <f>VLOOKUP($A115,MINASA!$A$1:$BA$1000,31,FALSE)</f>
        <v>#N/A</v>
      </c>
      <c r="H115" s="20" t="e">
        <f>VLOOKUP($A115,MINASA!$A$1:$BA$1000,47,FALSE)</f>
        <v>#N/A</v>
      </c>
      <c r="I115" s="21" t="e">
        <f>VLOOKUP($A115,MINASA!$A$1:$BA$1000,52,FALSE)</f>
        <v>#N/A</v>
      </c>
      <c r="J115" s="21" t="e">
        <f>VLOOKUP($A115,MINASA!$A$1:$BA$1000,53,FALSE)</f>
        <v>#N/A</v>
      </c>
      <c r="L115" s="20" t="s">
        <v>14</v>
      </c>
      <c r="M115" s="20" t="e">
        <f t="shared" si="3"/>
        <v>#N/A</v>
      </c>
      <c r="N115" s="20" t="s">
        <v>235</v>
      </c>
    </row>
    <row r="116" spans="1:14" ht="81.75" customHeight="1" thickBot="1">
      <c r="A116" s="20">
        <v>115</v>
      </c>
      <c r="B116" s="24" t="e">
        <f>VLOOKUP($A116,MINASA!$A$1:$BA$1000,10,FALSE)</f>
        <v>#N/A</v>
      </c>
      <c r="C116" s="20" t="e">
        <f t="shared" si="2"/>
        <v>#N/A</v>
      </c>
      <c r="D116" s="20" t="e">
        <f>VLOOKUP($A116,MINASA!$A$1:$BA$1000,27,FALSE)</f>
        <v>#N/A</v>
      </c>
      <c r="E116" s="20" t="e">
        <f>VLOOKUP($A116,MINASA!$A$1:$BA$1000,26,FALSE)</f>
        <v>#N/A</v>
      </c>
      <c r="F116" s="21" t="e">
        <f>VLOOKUP($A116,MINASA!$A$1:$BA$1000,30,FALSE)</f>
        <v>#N/A</v>
      </c>
      <c r="G116" s="20" t="e">
        <f>VLOOKUP($A116,MINASA!$A$1:$BA$1000,31,FALSE)</f>
        <v>#N/A</v>
      </c>
      <c r="H116" s="20" t="e">
        <f>VLOOKUP($A116,MINASA!$A$1:$BA$1000,47,FALSE)</f>
        <v>#N/A</v>
      </c>
      <c r="I116" s="21" t="e">
        <f>VLOOKUP($A116,MINASA!$A$1:$BA$1000,52,FALSE)</f>
        <v>#N/A</v>
      </c>
      <c r="J116" s="21" t="e">
        <f>VLOOKUP($A116,MINASA!$A$1:$BA$1000,53,FALSE)</f>
        <v>#N/A</v>
      </c>
      <c r="L116" s="20" t="s">
        <v>14</v>
      </c>
      <c r="M116" s="20" t="e">
        <f t="shared" si="3"/>
        <v>#N/A</v>
      </c>
      <c r="N116" s="20" t="s">
        <v>236</v>
      </c>
    </row>
    <row r="117" spans="1:14" ht="81.75" customHeight="1" thickBot="1">
      <c r="A117" s="20">
        <v>116</v>
      </c>
      <c r="B117" s="24" t="e">
        <f>VLOOKUP($A117,MINASA!$A$1:$BA$1000,10,FALSE)</f>
        <v>#N/A</v>
      </c>
      <c r="C117" s="20" t="e">
        <f t="shared" si="2"/>
        <v>#N/A</v>
      </c>
      <c r="D117" s="20" t="e">
        <f>VLOOKUP($A117,MINASA!$A$1:$BA$1000,27,FALSE)</f>
        <v>#N/A</v>
      </c>
      <c r="E117" s="20" t="e">
        <f>VLOOKUP($A117,MINASA!$A$1:$BA$1000,26,FALSE)</f>
        <v>#N/A</v>
      </c>
      <c r="F117" s="21" t="e">
        <f>VLOOKUP($A117,MINASA!$A$1:$BA$1000,30,FALSE)</f>
        <v>#N/A</v>
      </c>
      <c r="G117" s="20" t="e">
        <f>VLOOKUP($A117,MINASA!$A$1:$BA$1000,31,FALSE)</f>
        <v>#N/A</v>
      </c>
      <c r="H117" s="20" t="e">
        <f>VLOOKUP($A117,MINASA!$A$1:$BA$1000,47,FALSE)</f>
        <v>#N/A</v>
      </c>
      <c r="I117" s="21" t="e">
        <f>VLOOKUP($A117,MINASA!$A$1:$BA$1000,52,FALSE)</f>
        <v>#N/A</v>
      </c>
      <c r="J117" s="21" t="e">
        <f>VLOOKUP($A117,MINASA!$A$1:$BA$1000,53,FALSE)</f>
        <v>#N/A</v>
      </c>
      <c r="L117" s="20" t="s">
        <v>14</v>
      </c>
      <c r="M117" s="20" t="e">
        <f t="shared" si="3"/>
        <v>#N/A</v>
      </c>
      <c r="N117" s="20" t="s">
        <v>237</v>
      </c>
    </row>
    <row r="118" spans="1:14" ht="81.75" customHeight="1" thickBot="1">
      <c r="A118" s="20">
        <v>117</v>
      </c>
      <c r="B118" s="24" t="e">
        <f>VLOOKUP($A118,MINASA!$A$1:$BA$1000,10,FALSE)</f>
        <v>#N/A</v>
      </c>
      <c r="C118" s="20" t="e">
        <f t="shared" si="2"/>
        <v>#N/A</v>
      </c>
      <c r="D118" s="20" t="e">
        <f>VLOOKUP($A118,MINASA!$A$1:$BA$1000,27,FALSE)</f>
        <v>#N/A</v>
      </c>
      <c r="E118" s="20" t="e">
        <f>VLOOKUP($A118,MINASA!$A$1:$BA$1000,26,FALSE)</f>
        <v>#N/A</v>
      </c>
      <c r="F118" s="21" t="e">
        <f>VLOOKUP($A118,MINASA!$A$1:$BA$1000,30,FALSE)</f>
        <v>#N/A</v>
      </c>
      <c r="G118" s="20" t="e">
        <f>VLOOKUP($A118,MINASA!$A$1:$BA$1000,31,FALSE)</f>
        <v>#N/A</v>
      </c>
      <c r="H118" s="20" t="e">
        <f>VLOOKUP($A118,MINASA!$A$1:$BA$1000,47,FALSE)</f>
        <v>#N/A</v>
      </c>
      <c r="I118" s="21" t="e">
        <f>VLOOKUP($A118,MINASA!$A$1:$BA$1000,52,FALSE)</f>
        <v>#N/A</v>
      </c>
      <c r="J118" s="21" t="e">
        <f>VLOOKUP($A118,MINASA!$A$1:$BA$1000,53,FALSE)</f>
        <v>#N/A</v>
      </c>
      <c r="L118" s="20" t="s">
        <v>14</v>
      </c>
      <c r="M118" s="20" t="e">
        <f t="shared" si="3"/>
        <v>#N/A</v>
      </c>
      <c r="N118" s="20" t="s">
        <v>238</v>
      </c>
    </row>
    <row r="119" spans="1:14" ht="81.75" customHeight="1" thickBot="1">
      <c r="A119" s="20">
        <v>118</v>
      </c>
      <c r="B119" s="24" t="e">
        <f>VLOOKUP($A119,MINASA!$A$1:$BA$1000,10,FALSE)</f>
        <v>#N/A</v>
      </c>
      <c r="C119" s="20" t="e">
        <f t="shared" si="2"/>
        <v>#N/A</v>
      </c>
      <c r="D119" s="20" t="e">
        <f>VLOOKUP($A119,MINASA!$A$1:$BA$1000,27,FALSE)</f>
        <v>#N/A</v>
      </c>
      <c r="E119" s="20" t="e">
        <f>VLOOKUP($A119,MINASA!$A$1:$BA$1000,26,FALSE)</f>
        <v>#N/A</v>
      </c>
      <c r="F119" s="21" t="e">
        <f>VLOOKUP($A119,MINASA!$A$1:$BA$1000,30,FALSE)</f>
        <v>#N/A</v>
      </c>
      <c r="G119" s="20" t="e">
        <f>VLOOKUP($A119,MINASA!$A$1:$BA$1000,31,FALSE)</f>
        <v>#N/A</v>
      </c>
      <c r="H119" s="20" t="e">
        <f>VLOOKUP($A119,MINASA!$A$1:$BA$1000,47,FALSE)</f>
        <v>#N/A</v>
      </c>
      <c r="I119" s="21" t="e">
        <f>VLOOKUP($A119,MINASA!$A$1:$BA$1000,52,FALSE)</f>
        <v>#N/A</v>
      </c>
      <c r="J119" s="21" t="e">
        <f>VLOOKUP($A119,MINASA!$A$1:$BA$1000,53,FALSE)</f>
        <v>#N/A</v>
      </c>
      <c r="L119" s="20" t="s">
        <v>14</v>
      </c>
      <c r="M119" s="20" t="e">
        <f t="shared" si="3"/>
        <v>#N/A</v>
      </c>
      <c r="N119" s="20" t="s">
        <v>239</v>
      </c>
    </row>
    <row r="120" spans="1:14" ht="81.75" customHeight="1" thickBot="1">
      <c r="A120" s="20">
        <v>119</v>
      </c>
      <c r="B120" s="24" t="e">
        <f>VLOOKUP($A120,MINASA!$A$1:$BA$1000,10,FALSE)</f>
        <v>#N/A</v>
      </c>
      <c r="C120" s="20" t="e">
        <f t="shared" si="2"/>
        <v>#N/A</v>
      </c>
      <c r="D120" s="20" t="e">
        <f>VLOOKUP($A120,MINASA!$A$1:$BA$1000,27,FALSE)</f>
        <v>#N/A</v>
      </c>
      <c r="E120" s="20" t="e">
        <f>VLOOKUP($A120,MINASA!$A$1:$BA$1000,26,FALSE)</f>
        <v>#N/A</v>
      </c>
      <c r="F120" s="21" t="e">
        <f>VLOOKUP($A120,MINASA!$A$1:$BA$1000,30,FALSE)</f>
        <v>#N/A</v>
      </c>
      <c r="G120" s="20" t="e">
        <f>VLOOKUP($A120,MINASA!$A$1:$BA$1000,31,FALSE)</f>
        <v>#N/A</v>
      </c>
      <c r="H120" s="20" t="e">
        <f>VLOOKUP($A120,MINASA!$A$1:$BA$1000,47,FALSE)</f>
        <v>#N/A</v>
      </c>
      <c r="I120" s="21" t="e">
        <f>VLOOKUP($A120,MINASA!$A$1:$BA$1000,52,FALSE)</f>
        <v>#N/A</v>
      </c>
      <c r="J120" s="21" t="e">
        <f>VLOOKUP($A120,MINASA!$A$1:$BA$1000,53,FALSE)</f>
        <v>#N/A</v>
      </c>
      <c r="L120" s="20" t="s">
        <v>14</v>
      </c>
      <c r="M120" s="20" t="e">
        <f t="shared" si="3"/>
        <v>#N/A</v>
      </c>
      <c r="N120" s="20" t="s">
        <v>240</v>
      </c>
    </row>
    <row r="121" spans="1:14" ht="81.75" customHeight="1" thickBot="1">
      <c r="A121" s="20">
        <v>120</v>
      </c>
      <c r="B121" s="24" t="e">
        <f>VLOOKUP($A121,MINASA!$A$1:$BA$1000,10,FALSE)</f>
        <v>#N/A</v>
      </c>
      <c r="C121" s="20" t="e">
        <f t="shared" si="2"/>
        <v>#N/A</v>
      </c>
      <c r="D121" s="20" t="e">
        <f>VLOOKUP($A121,MINASA!$A$1:$BA$1000,27,FALSE)</f>
        <v>#N/A</v>
      </c>
      <c r="E121" s="20" t="e">
        <f>VLOOKUP($A121,MINASA!$A$1:$BA$1000,26,FALSE)</f>
        <v>#N/A</v>
      </c>
      <c r="F121" s="21" t="e">
        <f>VLOOKUP($A121,MINASA!$A$1:$BA$1000,30,FALSE)</f>
        <v>#N/A</v>
      </c>
      <c r="G121" s="20" t="e">
        <f>VLOOKUP($A121,MINASA!$A$1:$BA$1000,31,FALSE)</f>
        <v>#N/A</v>
      </c>
      <c r="H121" s="20" t="e">
        <f>VLOOKUP($A121,MINASA!$A$1:$BA$1000,47,FALSE)</f>
        <v>#N/A</v>
      </c>
      <c r="I121" s="21" t="e">
        <f>VLOOKUP($A121,MINASA!$A$1:$BA$1000,52,FALSE)</f>
        <v>#N/A</v>
      </c>
      <c r="J121" s="21" t="e">
        <f>VLOOKUP($A121,MINASA!$A$1:$BA$1000,53,FALSE)</f>
        <v>#N/A</v>
      </c>
      <c r="L121" s="20" t="s">
        <v>14</v>
      </c>
      <c r="M121" s="20" t="e">
        <f t="shared" si="3"/>
        <v>#N/A</v>
      </c>
      <c r="N121" s="20" t="s">
        <v>241</v>
      </c>
    </row>
    <row r="122" spans="1:14" ht="81.75" customHeight="1" thickBot="1">
      <c r="A122" s="20">
        <v>121</v>
      </c>
      <c r="B122" s="24" t="e">
        <f>VLOOKUP($A122,MINASA!$A$1:$BA$1000,10,FALSE)</f>
        <v>#N/A</v>
      </c>
      <c r="C122" s="20" t="e">
        <f t="shared" si="2"/>
        <v>#N/A</v>
      </c>
      <c r="D122" s="20" t="e">
        <f>VLOOKUP($A122,MINASA!$A$1:$BA$1000,27,FALSE)</f>
        <v>#N/A</v>
      </c>
      <c r="E122" s="20" t="e">
        <f>VLOOKUP($A122,MINASA!$A$1:$BA$1000,26,FALSE)</f>
        <v>#N/A</v>
      </c>
      <c r="F122" s="21" t="e">
        <f>VLOOKUP($A122,MINASA!$A$1:$BA$1000,30,FALSE)</f>
        <v>#N/A</v>
      </c>
      <c r="G122" s="20" t="e">
        <f>VLOOKUP($A122,MINASA!$A$1:$BA$1000,31,FALSE)</f>
        <v>#N/A</v>
      </c>
      <c r="H122" s="20" t="e">
        <f>VLOOKUP($A122,MINASA!$A$1:$BA$1000,47,FALSE)</f>
        <v>#N/A</v>
      </c>
      <c r="I122" s="21" t="e">
        <f>VLOOKUP($A122,MINASA!$A$1:$BA$1000,52,FALSE)</f>
        <v>#N/A</v>
      </c>
      <c r="J122" s="21" t="e">
        <f>VLOOKUP($A122,MINASA!$A$1:$BA$1000,53,FALSE)</f>
        <v>#N/A</v>
      </c>
      <c r="L122" s="20" t="s">
        <v>14</v>
      </c>
      <c r="M122" s="20" t="e">
        <f t="shared" si="3"/>
        <v>#N/A</v>
      </c>
      <c r="N122" s="20" t="s">
        <v>242</v>
      </c>
    </row>
    <row r="123" spans="1:14" ht="81.75" customHeight="1" thickBot="1">
      <c r="A123" s="20">
        <v>122</v>
      </c>
      <c r="B123" s="24" t="e">
        <f>VLOOKUP($A123,MINASA!$A$1:$BA$1000,10,FALSE)</f>
        <v>#N/A</v>
      </c>
      <c r="C123" s="20" t="e">
        <f t="shared" si="2"/>
        <v>#N/A</v>
      </c>
      <c r="D123" s="20" t="e">
        <f>VLOOKUP($A123,MINASA!$A$1:$BA$1000,27,FALSE)</f>
        <v>#N/A</v>
      </c>
      <c r="E123" s="20" t="e">
        <f>VLOOKUP($A123,MINASA!$A$1:$BA$1000,26,FALSE)</f>
        <v>#N/A</v>
      </c>
      <c r="F123" s="21" t="e">
        <f>VLOOKUP($A123,MINASA!$A$1:$BA$1000,30,FALSE)</f>
        <v>#N/A</v>
      </c>
      <c r="G123" s="20" t="e">
        <f>VLOOKUP($A123,MINASA!$A$1:$BA$1000,31,FALSE)</f>
        <v>#N/A</v>
      </c>
      <c r="H123" s="20" t="e">
        <f>VLOOKUP($A123,MINASA!$A$1:$BA$1000,47,FALSE)</f>
        <v>#N/A</v>
      </c>
      <c r="I123" s="21" t="e">
        <f>VLOOKUP($A123,MINASA!$A$1:$BA$1000,52,FALSE)</f>
        <v>#N/A</v>
      </c>
      <c r="J123" s="21" t="e">
        <f>VLOOKUP($A123,MINASA!$A$1:$BA$1000,53,FALSE)</f>
        <v>#N/A</v>
      </c>
      <c r="L123" s="20" t="s">
        <v>14</v>
      </c>
      <c r="M123" s="20" t="e">
        <f t="shared" si="3"/>
        <v>#N/A</v>
      </c>
      <c r="N123" s="20" t="s">
        <v>243</v>
      </c>
    </row>
    <row r="124" spans="1:14" ht="81.75" customHeight="1" thickBot="1">
      <c r="A124" s="20">
        <v>123</v>
      </c>
      <c r="B124" s="24" t="e">
        <f>VLOOKUP($A124,MINASA!$A$1:$BA$1000,10,FALSE)</f>
        <v>#N/A</v>
      </c>
      <c r="C124" s="20" t="e">
        <f t="shared" si="2"/>
        <v>#N/A</v>
      </c>
      <c r="D124" s="20" t="e">
        <f>VLOOKUP($A124,MINASA!$A$1:$BA$1000,27,FALSE)</f>
        <v>#N/A</v>
      </c>
      <c r="E124" s="20" t="e">
        <f>VLOOKUP($A124,MINASA!$A$1:$BA$1000,26,FALSE)</f>
        <v>#N/A</v>
      </c>
      <c r="F124" s="21" t="e">
        <f>VLOOKUP($A124,MINASA!$A$1:$BA$1000,30,FALSE)</f>
        <v>#N/A</v>
      </c>
      <c r="G124" s="20" t="e">
        <f>VLOOKUP($A124,MINASA!$A$1:$BA$1000,31,FALSE)</f>
        <v>#N/A</v>
      </c>
      <c r="H124" s="20" t="e">
        <f>VLOOKUP($A124,MINASA!$A$1:$BA$1000,47,FALSE)</f>
        <v>#N/A</v>
      </c>
      <c r="I124" s="21" t="e">
        <f>VLOOKUP($A124,MINASA!$A$1:$BA$1000,52,FALSE)</f>
        <v>#N/A</v>
      </c>
      <c r="J124" s="21" t="e">
        <f>VLOOKUP($A124,MINASA!$A$1:$BA$1000,53,FALSE)</f>
        <v>#N/A</v>
      </c>
      <c r="L124" s="20" t="s">
        <v>14</v>
      </c>
      <c r="M124" s="20" t="e">
        <f t="shared" si="3"/>
        <v>#N/A</v>
      </c>
      <c r="N124" s="20" t="s">
        <v>244</v>
      </c>
    </row>
    <row r="125" spans="1:14" ht="81.75" customHeight="1" thickBot="1">
      <c r="A125" s="20">
        <v>124</v>
      </c>
      <c r="B125" s="24" t="e">
        <f>VLOOKUP($A125,MINASA!$A$1:$BA$1000,10,FALSE)</f>
        <v>#N/A</v>
      </c>
      <c r="C125" s="20" t="e">
        <f t="shared" si="2"/>
        <v>#N/A</v>
      </c>
      <c r="D125" s="20" t="e">
        <f>VLOOKUP($A125,MINASA!$A$1:$BA$1000,27,FALSE)</f>
        <v>#N/A</v>
      </c>
      <c r="E125" s="20" t="e">
        <f>VLOOKUP($A125,MINASA!$A$1:$BA$1000,26,FALSE)</f>
        <v>#N/A</v>
      </c>
      <c r="F125" s="21" t="e">
        <f>VLOOKUP($A125,MINASA!$A$1:$BA$1000,30,FALSE)</f>
        <v>#N/A</v>
      </c>
      <c r="G125" s="20" t="e">
        <f>VLOOKUP($A125,MINASA!$A$1:$BA$1000,31,FALSE)</f>
        <v>#N/A</v>
      </c>
      <c r="H125" s="20" t="e">
        <f>VLOOKUP($A125,MINASA!$A$1:$BA$1000,47,FALSE)</f>
        <v>#N/A</v>
      </c>
      <c r="I125" s="21" t="e">
        <f>VLOOKUP($A125,MINASA!$A$1:$BA$1000,52,FALSE)</f>
        <v>#N/A</v>
      </c>
      <c r="J125" s="21" t="e">
        <f>VLOOKUP($A125,MINASA!$A$1:$BA$1000,53,FALSE)</f>
        <v>#N/A</v>
      </c>
      <c r="L125" s="20" t="s">
        <v>14</v>
      </c>
      <c r="M125" s="20" t="e">
        <f t="shared" si="3"/>
        <v>#N/A</v>
      </c>
      <c r="N125" s="20" t="s">
        <v>245</v>
      </c>
    </row>
    <row r="126" spans="1:14" ht="81.75" customHeight="1" thickBot="1">
      <c r="A126" s="20">
        <v>125</v>
      </c>
      <c r="B126" s="24" t="e">
        <f>VLOOKUP($A126,MINASA!$A$1:$BA$1000,10,FALSE)</f>
        <v>#N/A</v>
      </c>
      <c r="C126" s="20" t="e">
        <f t="shared" si="2"/>
        <v>#N/A</v>
      </c>
      <c r="D126" s="20" t="e">
        <f>VLOOKUP($A126,MINASA!$A$1:$BA$1000,27,FALSE)</f>
        <v>#N/A</v>
      </c>
      <c r="E126" s="20" t="e">
        <f>VLOOKUP($A126,MINASA!$A$1:$BA$1000,26,FALSE)</f>
        <v>#N/A</v>
      </c>
      <c r="F126" s="21" t="e">
        <f>VLOOKUP($A126,MINASA!$A$1:$BA$1000,30,FALSE)</f>
        <v>#N/A</v>
      </c>
      <c r="G126" s="20" t="e">
        <f>VLOOKUP($A126,MINASA!$A$1:$BA$1000,31,FALSE)</f>
        <v>#N/A</v>
      </c>
      <c r="H126" s="20" t="e">
        <f>VLOOKUP($A126,MINASA!$A$1:$BA$1000,47,FALSE)</f>
        <v>#N/A</v>
      </c>
      <c r="I126" s="21" t="e">
        <f>VLOOKUP($A126,MINASA!$A$1:$BA$1000,52,FALSE)</f>
        <v>#N/A</v>
      </c>
      <c r="J126" s="21" t="e">
        <f>VLOOKUP($A126,MINASA!$A$1:$BA$1000,53,FALSE)</f>
        <v>#N/A</v>
      </c>
      <c r="L126" s="20" t="s">
        <v>14</v>
      </c>
      <c r="M126" s="20" t="e">
        <f t="shared" si="3"/>
        <v>#N/A</v>
      </c>
      <c r="N126" s="20" t="s">
        <v>246</v>
      </c>
    </row>
    <row r="127" spans="1:14" ht="81.75" customHeight="1" thickBot="1">
      <c r="A127" s="20">
        <v>126</v>
      </c>
      <c r="B127" s="24" t="e">
        <f>VLOOKUP($A127,MINASA!$A$1:$BA$1000,10,FALSE)</f>
        <v>#N/A</v>
      </c>
      <c r="C127" s="20" t="e">
        <f t="shared" si="2"/>
        <v>#N/A</v>
      </c>
      <c r="D127" s="20" t="e">
        <f>VLOOKUP($A127,MINASA!$A$1:$BA$1000,27,FALSE)</f>
        <v>#N/A</v>
      </c>
      <c r="E127" s="20" t="e">
        <f>VLOOKUP($A127,MINASA!$A$1:$BA$1000,26,FALSE)</f>
        <v>#N/A</v>
      </c>
      <c r="F127" s="21" t="e">
        <f>VLOOKUP($A127,MINASA!$A$1:$BA$1000,30,FALSE)</f>
        <v>#N/A</v>
      </c>
      <c r="G127" s="20" t="e">
        <f>VLOOKUP($A127,MINASA!$A$1:$BA$1000,31,FALSE)</f>
        <v>#N/A</v>
      </c>
      <c r="H127" s="20" t="e">
        <f>VLOOKUP($A127,MINASA!$A$1:$BA$1000,47,FALSE)</f>
        <v>#N/A</v>
      </c>
      <c r="I127" s="21" t="e">
        <f>VLOOKUP($A127,MINASA!$A$1:$BA$1000,52,FALSE)</f>
        <v>#N/A</v>
      </c>
      <c r="J127" s="21" t="e">
        <f>VLOOKUP($A127,MINASA!$A$1:$BA$1000,53,FALSE)</f>
        <v>#N/A</v>
      </c>
      <c r="L127" s="20" t="s">
        <v>14</v>
      </c>
      <c r="M127" s="20" t="e">
        <f t="shared" si="3"/>
        <v>#N/A</v>
      </c>
      <c r="N127" s="20" t="s">
        <v>247</v>
      </c>
    </row>
    <row r="128" spans="1:14" ht="81.75" customHeight="1" thickBot="1">
      <c r="A128" s="20">
        <v>127</v>
      </c>
      <c r="B128" s="24" t="e">
        <f>VLOOKUP($A128,MINASA!$A$1:$BA$1000,10,FALSE)</f>
        <v>#N/A</v>
      </c>
      <c r="C128" s="20" t="e">
        <f t="shared" si="2"/>
        <v>#N/A</v>
      </c>
      <c r="D128" s="20" t="e">
        <f>VLOOKUP($A128,MINASA!$A$1:$BA$1000,27,FALSE)</f>
        <v>#N/A</v>
      </c>
      <c r="E128" s="20" t="e">
        <f>VLOOKUP($A128,MINASA!$A$1:$BA$1000,26,FALSE)</f>
        <v>#N/A</v>
      </c>
      <c r="F128" s="21" t="e">
        <f>VLOOKUP($A128,MINASA!$A$1:$BA$1000,30,FALSE)</f>
        <v>#N/A</v>
      </c>
      <c r="G128" s="20" t="e">
        <f>VLOOKUP($A128,MINASA!$A$1:$BA$1000,31,FALSE)</f>
        <v>#N/A</v>
      </c>
      <c r="H128" s="20" t="e">
        <f>VLOOKUP($A128,MINASA!$A$1:$BA$1000,47,FALSE)</f>
        <v>#N/A</v>
      </c>
      <c r="I128" s="21" t="e">
        <f>VLOOKUP($A128,MINASA!$A$1:$BA$1000,52,FALSE)</f>
        <v>#N/A</v>
      </c>
      <c r="J128" s="21" t="e">
        <f>VLOOKUP($A128,MINASA!$A$1:$BA$1000,53,FALSE)</f>
        <v>#N/A</v>
      </c>
      <c r="L128" s="20" t="s">
        <v>14</v>
      </c>
      <c r="M128" s="20" t="e">
        <f t="shared" si="3"/>
        <v>#N/A</v>
      </c>
      <c r="N128" s="20" t="s">
        <v>248</v>
      </c>
    </row>
    <row r="129" spans="1:14" ht="81.75" customHeight="1" thickBot="1">
      <c r="A129" s="20">
        <v>128</v>
      </c>
      <c r="B129" s="24" t="e">
        <f>VLOOKUP($A129,MINASA!$A$1:$BA$1000,10,FALSE)</f>
        <v>#N/A</v>
      </c>
      <c r="C129" s="20" t="e">
        <f t="shared" si="2"/>
        <v>#N/A</v>
      </c>
      <c r="D129" s="20" t="e">
        <f>VLOOKUP($A129,MINASA!$A$1:$BA$1000,27,FALSE)</f>
        <v>#N/A</v>
      </c>
      <c r="E129" s="20" t="e">
        <f>VLOOKUP($A129,MINASA!$A$1:$BA$1000,26,FALSE)</f>
        <v>#N/A</v>
      </c>
      <c r="F129" s="21" t="e">
        <f>VLOOKUP($A129,MINASA!$A$1:$BA$1000,30,FALSE)</f>
        <v>#N/A</v>
      </c>
      <c r="G129" s="20" t="e">
        <f>VLOOKUP($A129,MINASA!$A$1:$BA$1000,31,FALSE)</f>
        <v>#N/A</v>
      </c>
      <c r="H129" s="20" t="e">
        <f>VLOOKUP($A129,MINASA!$A$1:$BA$1000,47,FALSE)</f>
        <v>#N/A</v>
      </c>
      <c r="I129" s="21" t="e">
        <f>VLOOKUP($A129,MINASA!$A$1:$BA$1000,52,FALSE)</f>
        <v>#N/A</v>
      </c>
      <c r="J129" s="21" t="e">
        <f>VLOOKUP($A129,MINASA!$A$1:$BA$1000,53,FALSE)</f>
        <v>#N/A</v>
      </c>
      <c r="L129" s="20" t="s">
        <v>14</v>
      </c>
      <c r="M129" s="20" t="e">
        <f t="shared" si="3"/>
        <v>#N/A</v>
      </c>
      <c r="N129" s="20" t="s">
        <v>249</v>
      </c>
    </row>
    <row r="130" spans="1:14" ht="81.75" customHeight="1" thickBot="1">
      <c r="A130" s="20">
        <v>129</v>
      </c>
      <c r="B130" s="24" t="e">
        <f>VLOOKUP($A130,MINASA!$A$1:$BA$1000,10,FALSE)</f>
        <v>#N/A</v>
      </c>
      <c r="C130" s="20" t="e">
        <f t="shared" si="2"/>
        <v>#N/A</v>
      </c>
      <c r="D130" s="20" t="e">
        <f>VLOOKUP($A130,MINASA!$A$1:$BA$1000,27,FALSE)</f>
        <v>#N/A</v>
      </c>
      <c r="E130" s="20" t="e">
        <f>VLOOKUP($A130,MINASA!$A$1:$BA$1000,26,FALSE)</f>
        <v>#N/A</v>
      </c>
      <c r="F130" s="21" t="e">
        <f>VLOOKUP($A130,MINASA!$A$1:$BA$1000,30,FALSE)</f>
        <v>#N/A</v>
      </c>
      <c r="G130" s="20" t="e">
        <f>VLOOKUP($A130,MINASA!$A$1:$BA$1000,31,FALSE)</f>
        <v>#N/A</v>
      </c>
      <c r="H130" s="20" t="e">
        <f>VLOOKUP($A130,MINASA!$A$1:$BA$1000,47,FALSE)</f>
        <v>#N/A</v>
      </c>
      <c r="I130" s="21" t="e">
        <f>VLOOKUP($A130,MINASA!$A$1:$BA$1000,52,FALSE)</f>
        <v>#N/A</v>
      </c>
      <c r="J130" s="21" t="e">
        <f>VLOOKUP($A130,MINASA!$A$1:$BA$1000,53,FALSE)</f>
        <v>#N/A</v>
      </c>
      <c r="L130" s="20" t="s">
        <v>14</v>
      </c>
      <c r="M130" s="20" t="e">
        <f t="shared" si="3"/>
        <v>#N/A</v>
      </c>
      <c r="N130" s="20" t="s">
        <v>250</v>
      </c>
    </row>
    <row r="131" spans="1:14" ht="81.75" customHeight="1" thickBot="1">
      <c r="A131" s="20">
        <v>130</v>
      </c>
      <c r="B131" s="24" t="e">
        <f>VLOOKUP($A131,MINASA!$A$1:$BA$1000,10,FALSE)</f>
        <v>#N/A</v>
      </c>
      <c r="C131" s="20" t="e">
        <f t="shared" si="2"/>
        <v>#N/A</v>
      </c>
      <c r="D131" s="20" t="e">
        <f>VLOOKUP($A131,MINASA!$A$1:$BA$1000,27,FALSE)</f>
        <v>#N/A</v>
      </c>
      <c r="E131" s="20" t="e">
        <f>VLOOKUP($A131,MINASA!$A$1:$BA$1000,26,FALSE)</f>
        <v>#N/A</v>
      </c>
      <c r="F131" s="21" t="e">
        <f>VLOOKUP($A131,MINASA!$A$1:$BA$1000,30,FALSE)</f>
        <v>#N/A</v>
      </c>
      <c r="G131" s="20" t="e">
        <f>VLOOKUP($A131,MINASA!$A$1:$BA$1000,31,FALSE)</f>
        <v>#N/A</v>
      </c>
      <c r="H131" s="20" t="e">
        <f>VLOOKUP($A131,MINASA!$A$1:$BA$1000,47,FALSE)</f>
        <v>#N/A</v>
      </c>
      <c r="I131" s="21" t="e">
        <f>VLOOKUP($A131,MINASA!$A$1:$BA$1000,52,FALSE)</f>
        <v>#N/A</v>
      </c>
      <c r="J131" s="21" t="e">
        <f>VLOOKUP($A131,MINASA!$A$1:$BA$1000,53,FALSE)</f>
        <v>#N/A</v>
      </c>
      <c r="L131" s="20" t="s">
        <v>14</v>
      </c>
      <c r="M131" s="20" t="e">
        <f t="shared" si="3"/>
        <v>#N/A</v>
      </c>
      <c r="N131" s="20" t="s">
        <v>251</v>
      </c>
    </row>
    <row r="132" spans="1:14" ht="81.75" customHeight="1" thickBot="1">
      <c r="A132" s="20">
        <v>131</v>
      </c>
      <c r="B132" s="24" t="e">
        <f>VLOOKUP($A132,MINASA!$A$1:$BA$1000,10,FALSE)</f>
        <v>#N/A</v>
      </c>
      <c r="C132" s="20" t="e">
        <f t="shared" si="2"/>
        <v>#N/A</v>
      </c>
      <c r="D132" s="20" t="e">
        <f>VLOOKUP($A132,MINASA!$A$1:$BA$1000,27,FALSE)</f>
        <v>#N/A</v>
      </c>
      <c r="E132" s="20" t="e">
        <f>VLOOKUP($A132,MINASA!$A$1:$BA$1000,26,FALSE)</f>
        <v>#N/A</v>
      </c>
      <c r="F132" s="21" t="e">
        <f>VLOOKUP($A132,MINASA!$A$1:$BA$1000,30,FALSE)</f>
        <v>#N/A</v>
      </c>
      <c r="G132" s="20" t="e">
        <f>VLOOKUP($A132,MINASA!$A$1:$BA$1000,31,FALSE)</f>
        <v>#N/A</v>
      </c>
      <c r="H132" s="20" t="e">
        <f>VLOOKUP($A132,MINASA!$A$1:$BA$1000,47,FALSE)</f>
        <v>#N/A</v>
      </c>
      <c r="I132" s="21" t="e">
        <f>VLOOKUP($A132,MINASA!$A$1:$BA$1000,52,FALSE)</f>
        <v>#N/A</v>
      </c>
      <c r="J132" s="21" t="e">
        <f>VLOOKUP($A132,MINASA!$A$1:$BA$1000,53,FALSE)</f>
        <v>#N/A</v>
      </c>
      <c r="L132" s="20" t="s">
        <v>14</v>
      </c>
      <c r="M132" s="20" t="e">
        <f t="shared" si="3"/>
        <v>#N/A</v>
      </c>
      <c r="N132" s="20" t="s">
        <v>252</v>
      </c>
    </row>
    <row r="133" spans="1:14" ht="81.75" customHeight="1" thickBot="1">
      <c r="A133" s="20">
        <v>132</v>
      </c>
      <c r="B133" s="24" t="e">
        <f>VLOOKUP($A133,MINASA!$A$1:$BA$1000,10,FALSE)</f>
        <v>#N/A</v>
      </c>
      <c r="C133" s="20" t="e">
        <f t="shared" ref="C133:C196" si="4">LEFT(B133,8)</f>
        <v>#N/A</v>
      </c>
      <c r="D133" s="20" t="e">
        <f>VLOOKUP($A133,MINASA!$A$1:$BA$1000,27,FALSE)</f>
        <v>#N/A</v>
      </c>
      <c r="E133" s="20" t="e">
        <f>VLOOKUP($A133,MINASA!$A$1:$BA$1000,26,FALSE)</f>
        <v>#N/A</v>
      </c>
      <c r="F133" s="21" t="e">
        <f>VLOOKUP($A133,MINASA!$A$1:$BA$1000,30,FALSE)</f>
        <v>#N/A</v>
      </c>
      <c r="G133" s="20" t="e">
        <f>VLOOKUP($A133,MINASA!$A$1:$BA$1000,31,FALSE)</f>
        <v>#N/A</v>
      </c>
      <c r="H133" s="20" t="e">
        <f>VLOOKUP($A133,MINASA!$A$1:$BA$1000,47,FALSE)</f>
        <v>#N/A</v>
      </c>
      <c r="I133" s="21" t="e">
        <f>VLOOKUP($A133,MINASA!$A$1:$BA$1000,52,FALSE)</f>
        <v>#N/A</v>
      </c>
      <c r="J133" s="21" t="e">
        <f>VLOOKUP($A133,MINASA!$A$1:$BA$1000,53,FALSE)</f>
        <v>#N/A</v>
      </c>
      <c r="L133" s="20" t="s">
        <v>14</v>
      </c>
      <c r="M133" s="20" t="e">
        <f t="shared" si="3"/>
        <v>#N/A</v>
      </c>
      <c r="N133" s="20" t="s">
        <v>253</v>
      </c>
    </row>
    <row r="134" spans="1:14" ht="81.75" customHeight="1" thickBot="1">
      <c r="A134" s="20">
        <v>133</v>
      </c>
      <c r="B134" s="24" t="e">
        <f>VLOOKUP($A134,MINASA!$A$1:$BA$1000,10,FALSE)</f>
        <v>#N/A</v>
      </c>
      <c r="C134" s="20" t="e">
        <f t="shared" si="4"/>
        <v>#N/A</v>
      </c>
      <c r="D134" s="20" t="e">
        <f>VLOOKUP($A134,MINASA!$A$1:$BA$1000,27,FALSE)</f>
        <v>#N/A</v>
      </c>
      <c r="E134" s="20" t="e">
        <f>VLOOKUP($A134,MINASA!$A$1:$BA$1000,26,FALSE)</f>
        <v>#N/A</v>
      </c>
      <c r="F134" s="21" t="e">
        <f>VLOOKUP($A134,MINASA!$A$1:$BA$1000,30,FALSE)</f>
        <v>#N/A</v>
      </c>
      <c r="G134" s="20" t="e">
        <f>VLOOKUP($A134,MINASA!$A$1:$BA$1000,31,FALSE)</f>
        <v>#N/A</v>
      </c>
      <c r="H134" s="20" t="e">
        <f>VLOOKUP($A134,MINASA!$A$1:$BA$1000,47,FALSE)</f>
        <v>#N/A</v>
      </c>
      <c r="I134" s="21" t="e">
        <f>VLOOKUP($A134,MINASA!$A$1:$BA$1000,52,FALSE)</f>
        <v>#N/A</v>
      </c>
      <c r="J134" s="21" t="e">
        <f>VLOOKUP($A134,MINASA!$A$1:$BA$1000,53,FALSE)</f>
        <v>#N/A</v>
      </c>
      <c r="L134" s="20" t="s">
        <v>14</v>
      </c>
      <c r="M134" s="20" t="e">
        <f t="shared" si="3"/>
        <v>#N/A</v>
      </c>
      <c r="N134" s="20" t="s">
        <v>254</v>
      </c>
    </row>
    <row r="135" spans="1:14" ht="81.75" customHeight="1" thickBot="1">
      <c r="A135" s="20">
        <v>134</v>
      </c>
      <c r="B135" s="24" t="e">
        <f>VLOOKUP($A135,MINASA!$A$1:$BA$1000,10,FALSE)</f>
        <v>#N/A</v>
      </c>
      <c r="C135" s="20" t="e">
        <f t="shared" si="4"/>
        <v>#N/A</v>
      </c>
      <c r="D135" s="20" t="e">
        <f>VLOOKUP($A135,MINASA!$A$1:$BA$1000,27,FALSE)</f>
        <v>#N/A</v>
      </c>
      <c r="E135" s="20" t="e">
        <f>VLOOKUP($A135,MINASA!$A$1:$BA$1000,26,FALSE)</f>
        <v>#N/A</v>
      </c>
      <c r="F135" s="21" t="e">
        <f>VLOOKUP($A135,MINASA!$A$1:$BA$1000,30,FALSE)</f>
        <v>#N/A</v>
      </c>
      <c r="G135" s="20" t="e">
        <f>VLOOKUP($A135,MINASA!$A$1:$BA$1000,31,FALSE)</f>
        <v>#N/A</v>
      </c>
      <c r="H135" s="20" t="e">
        <f>VLOOKUP($A135,MINASA!$A$1:$BA$1000,47,FALSE)</f>
        <v>#N/A</v>
      </c>
      <c r="I135" s="21" t="e">
        <f>VLOOKUP($A135,MINASA!$A$1:$BA$1000,52,FALSE)</f>
        <v>#N/A</v>
      </c>
      <c r="J135" s="21" t="e">
        <f>VLOOKUP($A135,MINASA!$A$1:$BA$1000,53,FALSE)</f>
        <v>#N/A</v>
      </c>
      <c r="L135" s="20" t="s">
        <v>14</v>
      </c>
      <c r="M135" s="20" t="e">
        <f t="shared" si="3"/>
        <v>#N/A</v>
      </c>
      <c r="N135" s="20" t="s">
        <v>255</v>
      </c>
    </row>
    <row r="136" spans="1:14" ht="81.75" customHeight="1" thickBot="1">
      <c r="A136" s="20">
        <v>135</v>
      </c>
      <c r="B136" s="24" t="e">
        <f>VLOOKUP($A136,MINASA!$A$1:$BA$1000,10,FALSE)</f>
        <v>#N/A</v>
      </c>
      <c r="C136" s="20" t="e">
        <f t="shared" si="4"/>
        <v>#N/A</v>
      </c>
      <c r="D136" s="20" t="e">
        <f>VLOOKUP($A136,MINASA!$A$1:$BA$1000,27,FALSE)</f>
        <v>#N/A</v>
      </c>
      <c r="E136" s="20" t="e">
        <f>VLOOKUP($A136,MINASA!$A$1:$BA$1000,26,FALSE)</f>
        <v>#N/A</v>
      </c>
      <c r="F136" s="21" t="e">
        <f>VLOOKUP($A136,MINASA!$A$1:$BA$1000,30,FALSE)</f>
        <v>#N/A</v>
      </c>
      <c r="G136" s="20" t="e">
        <f>VLOOKUP($A136,MINASA!$A$1:$BA$1000,31,FALSE)</f>
        <v>#N/A</v>
      </c>
      <c r="H136" s="20" t="e">
        <f>VLOOKUP($A136,MINASA!$A$1:$BA$1000,47,FALSE)</f>
        <v>#N/A</v>
      </c>
      <c r="I136" s="21" t="e">
        <f>VLOOKUP($A136,MINASA!$A$1:$BA$1000,52,FALSE)</f>
        <v>#N/A</v>
      </c>
      <c r="J136" s="21" t="e">
        <f>VLOOKUP($A136,MINASA!$A$1:$BA$1000,53,FALSE)</f>
        <v>#N/A</v>
      </c>
      <c r="L136" s="20" t="s">
        <v>14</v>
      </c>
      <c r="M136" s="20" t="e">
        <f t="shared" si="3"/>
        <v>#N/A</v>
      </c>
      <c r="N136" s="20" t="s">
        <v>256</v>
      </c>
    </row>
    <row r="137" spans="1:14" ht="81.75" customHeight="1" thickBot="1">
      <c r="A137" s="20">
        <v>136</v>
      </c>
      <c r="B137" s="24" t="e">
        <f>VLOOKUP($A137,MINASA!$A$1:$BA$1000,10,FALSE)</f>
        <v>#N/A</v>
      </c>
      <c r="C137" s="20" t="e">
        <f t="shared" si="4"/>
        <v>#N/A</v>
      </c>
      <c r="D137" s="20" t="e">
        <f>VLOOKUP($A137,MINASA!$A$1:$BA$1000,27,FALSE)</f>
        <v>#N/A</v>
      </c>
      <c r="E137" s="20" t="e">
        <f>VLOOKUP($A137,MINASA!$A$1:$BA$1000,26,FALSE)</f>
        <v>#N/A</v>
      </c>
      <c r="F137" s="21" t="e">
        <f>VLOOKUP($A137,MINASA!$A$1:$BA$1000,30,FALSE)</f>
        <v>#N/A</v>
      </c>
      <c r="G137" s="20" t="e">
        <f>VLOOKUP($A137,MINASA!$A$1:$BA$1000,31,FALSE)</f>
        <v>#N/A</v>
      </c>
      <c r="H137" s="20" t="e">
        <f>VLOOKUP($A137,MINASA!$A$1:$BA$1000,47,FALSE)</f>
        <v>#N/A</v>
      </c>
      <c r="I137" s="21" t="e">
        <f>VLOOKUP($A137,MINASA!$A$1:$BA$1000,52,FALSE)</f>
        <v>#N/A</v>
      </c>
      <c r="J137" s="21" t="e">
        <f>VLOOKUP($A137,MINASA!$A$1:$BA$1000,53,FALSE)</f>
        <v>#N/A</v>
      </c>
      <c r="L137" s="20" t="s">
        <v>14</v>
      </c>
      <c r="M137" s="20" t="e">
        <f t="shared" si="3"/>
        <v>#N/A</v>
      </c>
      <c r="N137" s="20" t="s">
        <v>257</v>
      </c>
    </row>
    <row r="138" spans="1:14" ht="81.75" customHeight="1" thickBot="1">
      <c r="A138" s="20">
        <v>137</v>
      </c>
      <c r="B138" s="24" t="e">
        <f>VLOOKUP($A138,MINASA!$A$1:$BA$1000,10,FALSE)</f>
        <v>#N/A</v>
      </c>
      <c r="C138" s="20" t="e">
        <f t="shared" si="4"/>
        <v>#N/A</v>
      </c>
      <c r="D138" s="20" t="e">
        <f>VLOOKUP($A138,MINASA!$A$1:$BA$1000,27,FALSE)</f>
        <v>#N/A</v>
      </c>
      <c r="E138" s="20" t="e">
        <f>VLOOKUP($A138,MINASA!$A$1:$BA$1000,26,FALSE)</f>
        <v>#N/A</v>
      </c>
      <c r="F138" s="21" t="e">
        <f>VLOOKUP($A138,MINASA!$A$1:$BA$1000,30,FALSE)</f>
        <v>#N/A</v>
      </c>
      <c r="G138" s="20" t="e">
        <f>VLOOKUP($A138,MINASA!$A$1:$BA$1000,31,FALSE)</f>
        <v>#N/A</v>
      </c>
      <c r="H138" s="20" t="e">
        <f>VLOOKUP($A138,MINASA!$A$1:$BA$1000,47,FALSE)</f>
        <v>#N/A</v>
      </c>
      <c r="I138" s="21" t="e">
        <f>VLOOKUP($A138,MINASA!$A$1:$BA$1000,52,FALSE)</f>
        <v>#N/A</v>
      </c>
      <c r="J138" s="21" t="e">
        <f>VLOOKUP($A138,MINASA!$A$1:$BA$1000,53,FALSE)</f>
        <v>#N/A</v>
      </c>
      <c r="L138" s="20" t="s">
        <v>14</v>
      </c>
      <c r="M138" s="20" t="e">
        <f t="shared" si="3"/>
        <v>#N/A</v>
      </c>
      <c r="N138" s="20" t="s">
        <v>258</v>
      </c>
    </row>
    <row r="139" spans="1:14" ht="81.75" customHeight="1" thickBot="1">
      <c r="A139" s="20">
        <v>138</v>
      </c>
      <c r="B139" s="24" t="e">
        <f>VLOOKUP($A139,MINASA!$A$1:$BA$1000,10,FALSE)</f>
        <v>#N/A</v>
      </c>
      <c r="C139" s="20" t="e">
        <f t="shared" si="4"/>
        <v>#N/A</v>
      </c>
      <c r="D139" s="20" t="e">
        <f>VLOOKUP($A139,MINASA!$A$1:$BA$1000,27,FALSE)</f>
        <v>#N/A</v>
      </c>
      <c r="E139" s="20" t="e">
        <f>VLOOKUP($A139,MINASA!$A$1:$BA$1000,26,FALSE)</f>
        <v>#N/A</v>
      </c>
      <c r="F139" s="21" t="e">
        <f>VLOOKUP($A139,MINASA!$A$1:$BA$1000,30,FALSE)</f>
        <v>#N/A</v>
      </c>
      <c r="G139" s="20" t="e">
        <f>VLOOKUP($A139,MINASA!$A$1:$BA$1000,31,FALSE)</f>
        <v>#N/A</v>
      </c>
      <c r="H139" s="20" t="e">
        <f>VLOOKUP($A139,MINASA!$A$1:$BA$1000,47,FALSE)</f>
        <v>#N/A</v>
      </c>
      <c r="I139" s="21" t="e">
        <f>VLOOKUP($A139,MINASA!$A$1:$BA$1000,52,FALSE)</f>
        <v>#N/A</v>
      </c>
      <c r="J139" s="21" t="e">
        <f>VLOOKUP($A139,MINASA!$A$1:$BA$1000,53,FALSE)</f>
        <v>#N/A</v>
      </c>
      <c r="L139" s="20" t="s">
        <v>14</v>
      </c>
      <c r="M139" s="20" t="e">
        <f t="shared" si="3"/>
        <v>#N/A</v>
      </c>
      <c r="N139" s="20" t="s">
        <v>259</v>
      </c>
    </row>
    <row r="140" spans="1:14" ht="81.75" customHeight="1" thickBot="1">
      <c r="A140" s="20">
        <v>139</v>
      </c>
      <c r="B140" s="24" t="e">
        <f>VLOOKUP($A140,MINASA!$A$1:$BA$1000,10,FALSE)</f>
        <v>#N/A</v>
      </c>
      <c r="C140" s="20" t="e">
        <f t="shared" si="4"/>
        <v>#N/A</v>
      </c>
      <c r="D140" s="20" t="e">
        <f>VLOOKUP($A140,MINASA!$A$1:$BA$1000,27,FALSE)</f>
        <v>#N/A</v>
      </c>
      <c r="E140" s="20" t="e">
        <f>VLOOKUP($A140,MINASA!$A$1:$BA$1000,26,FALSE)</f>
        <v>#N/A</v>
      </c>
      <c r="F140" s="21" t="e">
        <f>VLOOKUP($A140,MINASA!$A$1:$BA$1000,30,FALSE)</f>
        <v>#N/A</v>
      </c>
      <c r="G140" s="20" t="e">
        <f>VLOOKUP($A140,MINASA!$A$1:$BA$1000,31,FALSE)</f>
        <v>#N/A</v>
      </c>
      <c r="H140" s="20" t="e">
        <f>VLOOKUP($A140,MINASA!$A$1:$BA$1000,47,FALSE)</f>
        <v>#N/A</v>
      </c>
      <c r="I140" s="21" t="e">
        <f>VLOOKUP($A140,MINASA!$A$1:$BA$1000,52,FALSE)</f>
        <v>#N/A</v>
      </c>
      <c r="J140" s="21" t="e">
        <f>VLOOKUP($A140,MINASA!$A$1:$BA$1000,53,FALSE)</f>
        <v>#N/A</v>
      </c>
      <c r="L140" s="20" t="s">
        <v>14</v>
      </c>
      <c r="M140" s="20" t="e">
        <f t="shared" si="3"/>
        <v>#N/A</v>
      </c>
      <c r="N140" s="20" t="s">
        <v>260</v>
      </c>
    </row>
    <row r="141" spans="1:14" ht="81.75" customHeight="1" thickBot="1">
      <c r="A141" s="20">
        <v>140</v>
      </c>
      <c r="B141" s="24" t="e">
        <f>VLOOKUP($A141,MINASA!$A$1:$BA$1000,10,FALSE)</f>
        <v>#N/A</v>
      </c>
      <c r="C141" s="20" t="e">
        <f t="shared" si="4"/>
        <v>#N/A</v>
      </c>
      <c r="D141" s="20" t="e">
        <f>VLOOKUP($A141,MINASA!$A$1:$BA$1000,27,FALSE)</f>
        <v>#N/A</v>
      </c>
      <c r="E141" s="20" t="e">
        <f>VLOOKUP($A141,MINASA!$A$1:$BA$1000,26,FALSE)</f>
        <v>#N/A</v>
      </c>
      <c r="F141" s="21" t="e">
        <f>VLOOKUP($A141,MINASA!$A$1:$BA$1000,30,FALSE)</f>
        <v>#N/A</v>
      </c>
      <c r="G141" s="20" t="e">
        <f>VLOOKUP($A141,MINASA!$A$1:$BA$1000,31,FALSE)</f>
        <v>#N/A</v>
      </c>
      <c r="H141" s="20" t="e">
        <f>VLOOKUP($A141,MINASA!$A$1:$BA$1000,47,FALSE)</f>
        <v>#N/A</v>
      </c>
      <c r="I141" s="21" t="e">
        <f>VLOOKUP($A141,MINASA!$A$1:$BA$1000,52,FALSE)</f>
        <v>#N/A</v>
      </c>
      <c r="J141" s="21" t="e">
        <f>VLOOKUP($A141,MINASA!$A$1:$BA$1000,53,FALSE)</f>
        <v>#N/A</v>
      </c>
      <c r="L141" s="20" t="s">
        <v>14</v>
      </c>
      <c r="M141" s="20" t="e">
        <f t="shared" si="3"/>
        <v>#N/A</v>
      </c>
      <c r="N141" s="20" t="s">
        <v>261</v>
      </c>
    </row>
    <row r="142" spans="1:14" ht="81.75" customHeight="1" thickBot="1">
      <c r="A142" s="20">
        <v>141</v>
      </c>
      <c r="B142" s="24" t="e">
        <f>VLOOKUP($A142,MINASA!$A$1:$BA$1000,10,FALSE)</f>
        <v>#N/A</v>
      </c>
      <c r="C142" s="20" t="e">
        <f t="shared" si="4"/>
        <v>#N/A</v>
      </c>
      <c r="D142" s="20" t="e">
        <f>VLOOKUP($A142,MINASA!$A$1:$BA$1000,27,FALSE)</f>
        <v>#N/A</v>
      </c>
      <c r="E142" s="20" t="e">
        <f>VLOOKUP($A142,MINASA!$A$1:$BA$1000,26,FALSE)</f>
        <v>#N/A</v>
      </c>
      <c r="F142" s="21" t="e">
        <f>VLOOKUP($A142,MINASA!$A$1:$BA$1000,30,FALSE)</f>
        <v>#N/A</v>
      </c>
      <c r="G142" s="20" t="e">
        <f>VLOOKUP($A142,MINASA!$A$1:$BA$1000,31,FALSE)</f>
        <v>#N/A</v>
      </c>
      <c r="H142" s="20" t="e">
        <f>VLOOKUP($A142,MINASA!$A$1:$BA$1000,47,FALSE)</f>
        <v>#N/A</v>
      </c>
      <c r="I142" s="21" t="e">
        <f>VLOOKUP($A142,MINASA!$A$1:$BA$1000,52,FALSE)</f>
        <v>#N/A</v>
      </c>
      <c r="J142" s="21" t="e">
        <f>VLOOKUP($A142,MINASA!$A$1:$BA$1000,53,FALSE)</f>
        <v>#N/A</v>
      </c>
      <c r="L142" s="20" t="s">
        <v>14</v>
      </c>
      <c r="M142" s="20" t="e">
        <f t="shared" si="3"/>
        <v>#N/A</v>
      </c>
      <c r="N142" s="20" t="s">
        <v>262</v>
      </c>
    </row>
    <row r="143" spans="1:14" ht="81.75" customHeight="1" thickBot="1">
      <c r="A143" s="20">
        <v>142</v>
      </c>
      <c r="B143" s="24" t="e">
        <f>VLOOKUP($A143,MINASA!$A$1:$BA$1000,10,FALSE)</f>
        <v>#N/A</v>
      </c>
      <c r="C143" s="20" t="e">
        <f t="shared" si="4"/>
        <v>#N/A</v>
      </c>
      <c r="D143" s="20" t="e">
        <f>VLOOKUP($A143,MINASA!$A$1:$BA$1000,27,FALSE)</f>
        <v>#N/A</v>
      </c>
      <c r="E143" s="20" t="e">
        <f>VLOOKUP($A143,MINASA!$A$1:$BA$1000,26,FALSE)</f>
        <v>#N/A</v>
      </c>
      <c r="F143" s="21" t="e">
        <f>VLOOKUP($A143,MINASA!$A$1:$BA$1000,30,FALSE)</f>
        <v>#N/A</v>
      </c>
      <c r="G143" s="20" t="e">
        <f>VLOOKUP($A143,MINASA!$A$1:$BA$1000,31,FALSE)</f>
        <v>#N/A</v>
      </c>
      <c r="H143" s="20" t="e">
        <f>VLOOKUP($A143,MINASA!$A$1:$BA$1000,47,FALSE)</f>
        <v>#N/A</v>
      </c>
      <c r="I143" s="21" t="e">
        <f>VLOOKUP($A143,MINASA!$A$1:$BA$1000,52,FALSE)</f>
        <v>#N/A</v>
      </c>
      <c r="J143" s="21" t="e">
        <f>VLOOKUP($A143,MINASA!$A$1:$BA$1000,53,FALSE)</f>
        <v>#N/A</v>
      </c>
      <c r="L143" s="20" t="s">
        <v>14</v>
      </c>
      <c r="M143" s="20" t="e">
        <f t="shared" si="3"/>
        <v>#N/A</v>
      </c>
      <c r="N143" s="20" t="s">
        <v>263</v>
      </c>
    </row>
    <row r="144" spans="1:14" ht="81.75" customHeight="1" thickBot="1">
      <c r="A144" s="20">
        <v>143</v>
      </c>
      <c r="B144" s="24" t="e">
        <f>VLOOKUP($A144,MINASA!$A$1:$BA$1000,10,FALSE)</f>
        <v>#N/A</v>
      </c>
      <c r="C144" s="20" t="e">
        <f t="shared" si="4"/>
        <v>#N/A</v>
      </c>
      <c r="D144" s="20" t="e">
        <f>VLOOKUP($A144,MINASA!$A$1:$BA$1000,27,FALSE)</f>
        <v>#N/A</v>
      </c>
      <c r="E144" s="20" t="e">
        <f>VLOOKUP($A144,MINASA!$A$1:$BA$1000,26,FALSE)</f>
        <v>#N/A</v>
      </c>
      <c r="F144" s="21" t="e">
        <f>VLOOKUP($A144,MINASA!$A$1:$BA$1000,30,FALSE)</f>
        <v>#N/A</v>
      </c>
      <c r="G144" s="20" t="e">
        <f>VLOOKUP($A144,MINASA!$A$1:$BA$1000,31,FALSE)</f>
        <v>#N/A</v>
      </c>
      <c r="H144" s="20" t="e">
        <f>VLOOKUP($A144,MINASA!$A$1:$BA$1000,47,FALSE)</f>
        <v>#N/A</v>
      </c>
      <c r="I144" s="21" t="e">
        <f>VLOOKUP($A144,MINASA!$A$1:$BA$1000,52,FALSE)</f>
        <v>#N/A</v>
      </c>
      <c r="J144" s="21" t="e">
        <f>VLOOKUP($A144,MINASA!$A$1:$BA$1000,53,FALSE)</f>
        <v>#N/A</v>
      </c>
      <c r="L144" s="20" t="s">
        <v>14</v>
      </c>
      <c r="M144" s="20" t="e">
        <f t="shared" si="3"/>
        <v>#N/A</v>
      </c>
      <c r="N144" s="20" t="s">
        <v>264</v>
      </c>
    </row>
    <row r="145" spans="1:14" ht="81.75" customHeight="1" thickBot="1">
      <c r="A145" s="20">
        <v>144</v>
      </c>
      <c r="B145" s="24" t="e">
        <f>VLOOKUP($A145,MINASA!$A$1:$BA$1000,10,FALSE)</f>
        <v>#N/A</v>
      </c>
      <c r="C145" s="20" t="e">
        <f t="shared" si="4"/>
        <v>#N/A</v>
      </c>
      <c r="D145" s="20" t="e">
        <f>VLOOKUP($A145,MINASA!$A$1:$BA$1000,27,FALSE)</f>
        <v>#N/A</v>
      </c>
      <c r="E145" s="20" t="e">
        <f>VLOOKUP($A145,MINASA!$A$1:$BA$1000,26,FALSE)</f>
        <v>#N/A</v>
      </c>
      <c r="F145" s="21" t="e">
        <f>VLOOKUP($A145,MINASA!$A$1:$BA$1000,30,FALSE)</f>
        <v>#N/A</v>
      </c>
      <c r="G145" s="20" t="e">
        <f>VLOOKUP($A145,MINASA!$A$1:$BA$1000,31,FALSE)</f>
        <v>#N/A</v>
      </c>
      <c r="H145" s="20" t="e">
        <f>VLOOKUP($A145,MINASA!$A$1:$BA$1000,47,FALSE)</f>
        <v>#N/A</v>
      </c>
      <c r="I145" s="21" t="e">
        <f>VLOOKUP($A145,MINASA!$A$1:$BA$1000,52,FALSE)</f>
        <v>#N/A</v>
      </c>
      <c r="J145" s="21" t="e">
        <f>VLOOKUP($A145,MINASA!$A$1:$BA$1000,53,FALSE)</f>
        <v>#N/A</v>
      </c>
      <c r="L145" s="20" t="s">
        <v>14</v>
      </c>
      <c r="M145" s="20" t="e">
        <f t="shared" si="3"/>
        <v>#N/A</v>
      </c>
      <c r="N145" s="20" t="s">
        <v>265</v>
      </c>
    </row>
    <row r="146" spans="1:14" ht="81.75" customHeight="1" thickBot="1">
      <c r="A146" s="20">
        <v>145</v>
      </c>
      <c r="B146" s="24" t="e">
        <f>VLOOKUP($A146,MINASA!$A$1:$BA$1000,10,FALSE)</f>
        <v>#N/A</v>
      </c>
      <c r="C146" s="20" t="e">
        <f t="shared" si="4"/>
        <v>#N/A</v>
      </c>
      <c r="D146" s="20" t="e">
        <f>VLOOKUP($A146,MINASA!$A$1:$BA$1000,27,FALSE)</f>
        <v>#N/A</v>
      </c>
      <c r="E146" s="20" t="e">
        <f>VLOOKUP($A146,MINASA!$A$1:$BA$1000,26,FALSE)</f>
        <v>#N/A</v>
      </c>
      <c r="F146" s="21" t="e">
        <f>VLOOKUP($A146,MINASA!$A$1:$BA$1000,30,FALSE)</f>
        <v>#N/A</v>
      </c>
      <c r="G146" s="20" t="e">
        <f>VLOOKUP($A146,MINASA!$A$1:$BA$1000,31,FALSE)</f>
        <v>#N/A</v>
      </c>
      <c r="H146" s="20" t="e">
        <f>VLOOKUP($A146,MINASA!$A$1:$BA$1000,47,FALSE)</f>
        <v>#N/A</v>
      </c>
      <c r="I146" s="21" t="e">
        <f>VLOOKUP($A146,MINASA!$A$1:$BA$1000,52,FALSE)</f>
        <v>#N/A</v>
      </c>
      <c r="J146" s="21" t="e">
        <f>VLOOKUP($A146,MINASA!$A$1:$BA$1000,53,FALSE)</f>
        <v>#N/A</v>
      </c>
      <c r="L146" s="20" t="s">
        <v>14</v>
      </c>
      <c r="M146" s="20" t="e">
        <f t="shared" si="3"/>
        <v>#N/A</v>
      </c>
      <c r="N146" s="20" t="s">
        <v>266</v>
      </c>
    </row>
    <row r="147" spans="1:14" ht="81.75" customHeight="1" thickBot="1">
      <c r="A147" s="20">
        <v>146</v>
      </c>
      <c r="B147" s="24" t="e">
        <f>VLOOKUP($A147,MINASA!$A$1:$BA$1000,10,FALSE)</f>
        <v>#N/A</v>
      </c>
      <c r="C147" s="20" t="e">
        <f t="shared" si="4"/>
        <v>#N/A</v>
      </c>
      <c r="D147" s="20" t="e">
        <f>VLOOKUP($A147,MINASA!$A$1:$BA$1000,27,FALSE)</f>
        <v>#N/A</v>
      </c>
      <c r="E147" s="20" t="e">
        <f>VLOOKUP($A147,MINASA!$A$1:$BA$1000,26,FALSE)</f>
        <v>#N/A</v>
      </c>
      <c r="F147" s="21" t="e">
        <f>VLOOKUP($A147,MINASA!$A$1:$BA$1000,30,FALSE)</f>
        <v>#N/A</v>
      </c>
      <c r="G147" s="20" t="e">
        <f>VLOOKUP($A147,MINASA!$A$1:$BA$1000,31,FALSE)</f>
        <v>#N/A</v>
      </c>
      <c r="H147" s="20" t="e">
        <f>VLOOKUP($A147,MINASA!$A$1:$BA$1000,47,FALSE)</f>
        <v>#N/A</v>
      </c>
      <c r="I147" s="21" t="e">
        <f>VLOOKUP($A147,MINASA!$A$1:$BA$1000,52,FALSE)</f>
        <v>#N/A</v>
      </c>
      <c r="J147" s="21" t="e">
        <f>VLOOKUP($A147,MINASA!$A$1:$BA$1000,53,FALSE)</f>
        <v>#N/A</v>
      </c>
      <c r="L147" s="20" t="s">
        <v>14</v>
      </c>
      <c r="M147" s="20" t="e">
        <f t="shared" si="3"/>
        <v>#N/A</v>
      </c>
      <c r="N147" s="20" t="s">
        <v>267</v>
      </c>
    </row>
    <row r="148" spans="1:14" ht="81.75" customHeight="1" thickBot="1">
      <c r="A148" s="20">
        <v>147</v>
      </c>
      <c r="B148" s="24" t="e">
        <f>VLOOKUP($A148,MINASA!$A$1:$BA$1000,10,FALSE)</f>
        <v>#N/A</v>
      </c>
      <c r="C148" s="20" t="e">
        <f t="shared" si="4"/>
        <v>#N/A</v>
      </c>
      <c r="D148" s="20" t="e">
        <f>VLOOKUP($A148,MINASA!$A$1:$BA$1000,27,FALSE)</f>
        <v>#N/A</v>
      </c>
      <c r="E148" s="20" t="e">
        <f>VLOOKUP($A148,MINASA!$A$1:$BA$1000,26,FALSE)</f>
        <v>#N/A</v>
      </c>
      <c r="F148" s="21" t="e">
        <f>VLOOKUP($A148,MINASA!$A$1:$BA$1000,30,FALSE)</f>
        <v>#N/A</v>
      </c>
      <c r="G148" s="20" t="e">
        <f>VLOOKUP($A148,MINASA!$A$1:$BA$1000,31,FALSE)</f>
        <v>#N/A</v>
      </c>
      <c r="H148" s="20" t="e">
        <f>VLOOKUP($A148,MINASA!$A$1:$BA$1000,47,FALSE)</f>
        <v>#N/A</v>
      </c>
      <c r="I148" s="21" t="e">
        <f>VLOOKUP($A148,MINASA!$A$1:$BA$1000,52,FALSE)</f>
        <v>#N/A</v>
      </c>
      <c r="J148" s="21" t="e">
        <f>VLOOKUP($A148,MINASA!$A$1:$BA$1000,53,FALSE)</f>
        <v>#N/A</v>
      </c>
      <c r="L148" s="20" t="s">
        <v>14</v>
      </c>
      <c r="M148" s="20" t="e">
        <f t="shared" si="3"/>
        <v>#N/A</v>
      </c>
      <c r="N148" s="20" t="s">
        <v>268</v>
      </c>
    </row>
    <row r="149" spans="1:14" ht="81.75" customHeight="1" thickBot="1">
      <c r="A149" s="20">
        <v>148</v>
      </c>
      <c r="B149" s="24" t="e">
        <f>VLOOKUP($A149,MINASA!$A$1:$BA$1000,10,FALSE)</f>
        <v>#N/A</v>
      </c>
      <c r="C149" s="20" t="e">
        <f t="shared" si="4"/>
        <v>#N/A</v>
      </c>
      <c r="D149" s="20" t="e">
        <f>VLOOKUP($A149,MINASA!$A$1:$BA$1000,27,FALSE)</f>
        <v>#N/A</v>
      </c>
      <c r="E149" s="20" t="e">
        <f>VLOOKUP($A149,MINASA!$A$1:$BA$1000,26,FALSE)</f>
        <v>#N/A</v>
      </c>
      <c r="F149" s="21" t="e">
        <f>VLOOKUP($A149,MINASA!$A$1:$BA$1000,30,FALSE)</f>
        <v>#N/A</v>
      </c>
      <c r="G149" s="20" t="e">
        <f>VLOOKUP($A149,MINASA!$A$1:$BA$1000,31,FALSE)</f>
        <v>#N/A</v>
      </c>
      <c r="H149" s="20" t="e">
        <f>VLOOKUP($A149,MINASA!$A$1:$BA$1000,47,FALSE)</f>
        <v>#N/A</v>
      </c>
      <c r="I149" s="21" t="e">
        <f>VLOOKUP($A149,MINASA!$A$1:$BA$1000,52,FALSE)</f>
        <v>#N/A</v>
      </c>
      <c r="J149" s="21" t="e">
        <f>VLOOKUP($A149,MINASA!$A$1:$BA$1000,53,FALSE)</f>
        <v>#N/A</v>
      </c>
      <c r="L149" s="20" t="s">
        <v>14</v>
      </c>
      <c r="M149" s="20" t="e">
        <f t="shared" si="3"/>
        <v>#N/A</v>
      </c>
      <c r="N149" s="20" t="s">
        <v>269</v>
      </c>
    </row>
    <row r="150" spans="1:14" ht="81.75" customHeight="1" thickBot="1">
      <c r="A150" s="20">
        <v>149</v>
      </c>
      <c r="B150" s="24" t="e">
        <f>VLOOKUP($A150,MINASA!$A$1:$BA$1000,10,FALSE)</f>
        <v>#N/A</v>
      </c>
      <c r="C150" s="20" t="e">
        <f t="shared" si="4"/>
        <v>#N/A</v>
      </c>
      <c r="D150" s="20" t="e">
        <f>VLOOKUP($A150,MINASA!$A$1:$BA$1000,27,FALSE)</f>
        <v>#N/A</v>
      </c>
      <c r="E150" s="20" t="e">
        <f>VLOOKUP($A150,MINASA!$A$1:$BA$1000,26,FALSE)</f>
        <v>#N/A</v>
      </c>
      <c r="F150" s="21" t="e">
        <f>VLOOKUP($A150,MINASA!$A$1:$BA$1000,30,FALSE)</f>
        <v>#N/A</v>
      </c>
      <c r="G150" s="20" t="e">
        <f>VLOOKUP($A150,MINASA!$A$1:$BA$1000,31,FALSE)</f>
        <v>#N/A</v>
      </c>
      <c r="H150" s="20" t="e">
        <f>VLOOKUP($A150,MINASA!$A$1:$BA$1000,47,FALSE)</f>
        <v>#N/A</v>
      </c>
      <c r="I150" s="21" t="e">
        <f>VLOOKUP($A150,MINASA!$A$1:$BA$1000,52,FALSE)</f>
        <v>#N/A</v>
      </c>
      <c r="J150" s="21" t="e">
        <f>VLOOKUP($A150,MINASA!$A$1:$BA$1000,53,FALSE)</f>
        <v>#N/A</v>
      </c>
      <c r="L150" s="20" t="s">
        <v>14</v>
      </c>
      <c r="M150" s="20" t="e">
        <f t="shared" si="3"/>
        <v>#N/A</v>
      </c>
      <c r="N150" s="20" t="s">
        <v>270</v>
      </c>
    </row>
    <row r="151" spans="1:14" ht="81.75" customHeight="1" thickBot="1">
      <c r="A151" s="20">
        <v>150</v>
      </c>
      <c r="B151" s="24" t="e">
        <f>VLOOKUP($A151,MINASA!$A$1:$BA$1000,10,FALSE)</f>
        <v>#N/A</v>
      </c>
      <c r="C151" s="20" t="e">
        <f t="shared" si="4"/>
        <v>#N/A</v>
      </c>
      <c r="D151" s="20" t="e">
        <f>VLOOKUP($A151,MINASA!$A$1:$BA$1000,27,FALSE)</f>
        <v>#N/A</v>
      </c>
      <c r="E151" s="20" t="e">
        <f>VLOOKUP($A151,MINASA!$A$1:$BA$1000,26,FALSE)</f>
        <v>#N/A</v>
      </c>
      <c r="F151" s="21" t="e">
        <f>VLOOKUP($A151,MINASA!$A$1:$BA$1000,30,FALSE)</f>
        <v>#N/A</v>
      </c>
      <c r="G151" s="20" t="e">
        <f>VLOOKUP($A151,MINASA!$A$1:$BA$1000,31,FALSE)</f>
        <v>#N/A</v>
      </c>
      <c r="H151" s="20" t="e">
        <f>VLOOKUP($A151,MINASA!$A$1:$BA$1000,47,FALSE)</f>
        <v>#N/A</v>
      </c>
      <c r="I151" s="21" t="e">
        <f>VLOOKUP($A151,MINASA!$A$1:$BA$1000,52,FALSE)</f>
        <v>#N/A</v>
      </c>
      <c r="J151" s="21" t="e">
        <f>VLOOKUP($A151,MINASA!$A$1:$BA$1000,53,FALSE)</f>
        <v>#N/A</v>
      </c>
      <c r="L151" s="20" t="s">
        <v>14</v>
      </c>
      <c r="M151" s="20" t="e">
        <f t="shared" si="3"/>
        <v>#N/A</v>
      </c>
      <c r="N151" s="20" t="s">
        <v>271</v>
      </c>
    </row>
    <row r="152" spans="1:14" ht="81.75" customHeight="1" thickBot="1">
      <c r="A152" s="20">
        <v>151</v>
      </c>
      <c r="B152" s="24" t="e">
        <f>VLOOKUP($A152,MINASA!$A$1:$BA$1000,10,FALSE)</f>
        <v>#N/A</v>
      </c>
      <c r="C152" s="20" t="e">
        <f t="shared" si="4"/>
        <v>#N/A</v>
      </c>
      <c r="D152" s="20" t="e">
        <f>VLOOKUP($A152,MINASA!$A$1:$BA$1000,27,FALSE)</f>
        <v>#N/A</v>
      </c>
      <c r="E152" s="20" t="e">
        <f>VLOOKUP($A152,MINASA!$A$1:$BA$1000,26,FALSE)</f>
        <v>#N/A</v>
      </c>
      <c r="F152" s="21" t="e">
        <f>VLOOKUP($A152,MINASA!$A$1:$BA$1000,30,FALSE)</f>
        <v>#N/A</v>
      </c>
      <c r="G152" s="20" t="e">
        <f>VLOOKUP($A152,MINASA!$A$1:$BA$1000,31,FALSE)</f>
        <v>#N/A</v>
      </c>
      <c r="H152" s="20" t="e">
        <f>VLOOKUP($A152,MINASA!$A$1:$BA$1000,47,FALSE)</f>
        <v>#N/A</v>
      </c>
      <c r="I152" s="21" t="e">
        <f>VLOOKUP($A152,MINASA!$A$1:$BA$1000,52,FALSE)</f>
        <v>#N/A</v>
      </c>
      <c r="J152" s="21" t="e">
        <f>VLOOKUP($A152,MINASA!$A$1:$BA$1000,53,FALSE)</f>
        <v>#N/A</v>
      </c>
      <c r="L152" s="20" t="s">
        <v>14</v>
      </c>
      <c r="M152" s="20" t="e">
        <f t="shared" si="3"/>
        <v>#N/A</v>
      </c>
      <c r="N152" s="20" t="s">
        <v>272</v>
      </c>
    </row>
    <row r="153" spans="1:14" ht="81.75" customHeight="1" thickBot="1">
      <c r="A153" s="20">
        <v>152</v>
      </c>
      <c r="B153" s="24" t="e">
        <f>VLOOKUP($A153,MINASA!$A$1:$BA$1000,10,FALSE)</f>
        <v>#N/A</v>
      </c>
      <c r="C153" s="20" t="e">
        <f t="shared" si="4"/>
        <v>#N/A</v>
      </c>
      <c r="D153" s="20" t="e">
        <f>VLOOKUP($A153,MINASA!$A$1:$BA$1000,27,FALSE)</f>
        <v>#N/A</v>
      </c>
      <c r="E153" s="20" t="e">
        <f>VLOOKUP($A153,MINASA!$A$1:$BA$1000,26,FALSE)</f>
        <v>#N/A</v>
      </c>
      <c r="F153" s="21" t="e">
        <f>VLOOKUP($A153,MINASA!$A$1:$BA$1000,30,FALSE)</f>
        <v>#N/A</v>
      </c>
      <c r="G153" s="20" t="e">
        <f>VLOOKUP($A153,MINASA!$A$1:$BA$1000,31,FALSE)</f>
        <v>#N/A</v>
      </c>
      <c r="H153" s="20" t="e">
        <f>VLOOKUP($A153,MINASA!$A$1:$BA$1000,47,FALSE)</f>
        <v>#N/A</v>
      </c>
      <c r="I153" s="21" t="e">
        <f>VLOOKUP($A153,MINASA!$A$1:$BA$1000,52,FALSE)</f>
        <v>#N/A</v>
      </c>
      <c r="J153" s="21" t="e">
        <f>VLOOKUP($A153,MINASA!$A$1:$BA$1000,53,FALSE)</f>
        <v>#N/A</v>
      </c>
      <c r="L153" s="20" t="s">
        <v>14</v>
      </c>
      <c r="M153" s="20" t="e">
        <f t="shared" si="3"/>
        <v>#N/A</v>
      </c>
      <c r="N153" s="20" t="s">
        <v>273</v>
      </c>
    </row>
    <row r="154" spans="1:14" ht="81.75" customHeight="1" thickBot="1">
      <c r="A154" s="20">
        <v>153</v>
      </c>
      <c r="B154" s="24" t="e">
        <f>VLOOKUP($A154,MINASA!$A$1:$BA$1000,10,FALSE)</f>
        <v>#N/A</v>
      </c>
      <c r="C154" s="20" t="e">
        <f t="shared" si="4"/>
        <v>#N/A</v>
      </c>
      <c r="D154" s="20" t="e">
        <f>VLOOKUP($A154,MINASA!$A$1:$BA$1000,27,FALSE)</f>
        <v>#N/A</v>
      </c>
      <c r="E154" s="20" t="e">
        <f>VLOOKUP($A154,MINASA!$A$1:$BA$1000,26,FALSE)</f>
        <v>#N/A</v>
      </c>
      <c r="F154" s="21" t="e">
        <f>VLOOKUP($A154,MINASA!$A$1:$BA$1000,30,FALSE)</f>
        <v>#N/A</v>
      </c>
      <c r="G154" s="20" t="e">
        <f>VLOOKUP($A154,MINASA!$A$1:$BA$1000,31,FALSE)</f>
        <v>#N/A</v>
      </c>
      <c r="H154" s="20" t="e">
        <f>VLOOKUP($A154,MINASA!$A$1:$BA$1000,47,FALSE)</f>
        <v>#N/A</v>
      </c>
      <c r="I154" s="21" t="e">
        <f>VLOOKUP($A154,MINASA!$A$1:$BA$1000,52,FALSE)</f>
        <v>#N/A</v>
      </c>
      <c r="J154" s="21" t="e">
        <f>VLOOKUP($A154,MINASA!$A$1:$BA$1000,53,FALSE)</f>
        <v>#N/A</v>
      </c>
      <c r="L154" s="20" t="s">
        <v>14</v>
      </c>
      <c r="M154" s="20" t="e">
        <f t="shared" si="3"/>
        <v>#N/A</v>
      </c>
      <c r="N154" s="20" t="s">
        <v>274</v>
      </c>
    </row>
    <row r="155" spans="1:14" ht="81.75" customHeight="1" thickBot="1">
      <c r="A155" s="20">
        <v>154</v>
      </c>
      <c r="B155" s="24" t="e">
        <f>VLOOKUP($A155,MINASA!$A$1:$BA$1000,10,FALSE)</f>
        <v>#N/A</v>
      </c>
      <c r="C155" s="20" t="e">
        <f t="shared" si="4"/>
        <v>#N/A</v>
      </c>
      <c r="D155" s="20" t="e">
        <f>VLOOKUP($A155,MINASA!$A$1:$BA$1000,27,FALSE)</f>
        <v>#N/A</v>
      </c>
      <c r="E155" s="20" t="e">
        <f>VLOOKUP($A155,MINASA!$A$1:$BA$1000,26,FALSE)</f>
        <v>#N/A</v>
      </c>
      <c r="F155" s="21" t="e">
        <f>VLOOKUP($A155,MINASA!$A$1:$BA$1000,30,FALSE)</f>
        <v>#N/A</v>
      </c>
      <c r="G155" s="20" t="e">
        <f>VLOOKUP($A155,MINASA!$A$1:$BA$1000,31,FALSE)</f>
        <v>#N/A</v>
      </c>
      <c r="H155" s="20" t="e">
        <f>VLOOKUP($A155,MINASA!$A$1:$BA$1000,47,FALSE)</f>
        <v>#N/A</v>
      </c>
      <c r="I155" s="21" t="e">
        <f>VLOOKUP($A155,MINASA!$A$1:$BA$1000,52,FALSE)</f>
        <v>#N/A</v>
      </c>
      <c r="J155" s="21" t="e">
        <f>VLOOKUP($A155,MINASA!$A$1:$BA$1000,53,FALSE)</f>
        <v>#N/A</v>
      </c>
      <c r="L155" s="20" t="s">
        <v>14</v>
      </c>
      <c r="M155" s="20" t="e">
        <f t="shared" si="3"/>
        <v>#N/A</v>
      </c>
      <c r="N155" s="20" t="s">
        <v>275</v>
      </c>
    </row>
    <row r="156" spans="1:14" ht="81.75" customHeight="1" thickBot="1">
      <c r="A156" s="20">
        <v>155</v>
      </c>
      <c r="B156" s="24" t="e">
        <f>VLOOKUP($A156,MINASA!$A$1:$BA$1000,10,FALSE)</f>
        <v>#N/A</v>
      </c>
      <c r="C156" s="20" t="e">
        <f t="shared" si="4"/>
        <v>#N/A</v>
      </c>
      <c r="D156" s="20" t="e">
        <f>VLOOKUP($A156,MINASA!$A$1:$BA$1000,27,FALSE)</f>
        <v>#N/A</v>
      </c>
      <c r="E156" s="20" t="e">
        <f>VLOOKUP($A156,MINASA!$A$1:$BA$1000,26,FALSE)</f>
        <v>#N/A</v>
      </c>
      <c r="F156" s="21" t="e">
        <f>VLOOKUP($A156,MINASA!$A$1:$BA$1000,30,FALSE)</f>
        <v>#N/A</v>
      </c>
      <c r="G156" s="20" t="e">
        <f>VLOOKUP($A156,MINASA!$A$1:$BA$1000,31,FALSE)</f>
        <v>#N/A</v>
      </c>
      <c r="H156" s="20" t="e">
        <f>VLOOKUP($A156,MINASA!$A$1:$BA$1000,47,FALSE)</f>
        <v>#N/A</v>
      </c>
      <c r="I156" s="21" t="e">
        <f>VLOOKUP($A156,MINASA!$A$1:$BA$1000,52,FALSE)</f>
        <v>#N/A</v>
      </c>
      <c r="J156" s="21" t="e">
        <f>VLOOKUP($A156,MINASA!$A$1:$BA$1000,53,FALSE)</f>
        <v>#N/A</v>
      </c>
      <c r="L156" s="20" t="s">
        <v>14</v>
      </c>
      <c r="M156" s="20" t="e">
        <f t="shared" si="3"/>
        <v>#N/A</v>
      </c>
      <c r="N156" s="20" t="s">
        <v>276</v>
      </c>
    </row>
    <row r="157" spans="1:14" ht="81.75" customHeight="1" thickBot="1">
      <c r="A157" s="20">
        <v>156</v>
      </c>
      <c r="B157" s="24" t="e">
        <f>VLOOKUP($A157,MINASA!$A$1:$BA$1000,10,FALSE)</f>
        <v>#N/A</v>
      </c>
      <c r="C157" s="20" t="e">
        <f t="shared" si="4"/>
        <v>#N/A</v>
      </c>
      <c r="D157" s="20" t="e">
        <f>VLOOKUP($A157,MINASA!$A$1:$BA$1000,27,FALSE)</f>
        <v>#N/A</v>
      </c>
      <c r="E157" s="20" t="e">
        <f>VLOOKUP($A157,MINASA!$A$1:$BA$1000,26,FALSE)</f>
        <v>#N/A</v>
      </c>
      <c r="F157" s="21" t="e">
        <f>VLOOKUP($A157,MINASA!$A$1:$BA$1000,30,FALSE)</f>
        <v>#N/A</v>
      </c>
      <c r="G157" s="20" t="e">
        <f>VLOOKUP($A157,MINASA!$A$1:$BA$1000,31,FALSE)</f>
        <v>#N/A</v>
      </c>
      <c r="H157" s="20" t="e">
        <f>VLOOKUP($A157,MINASA!$A$1:$BA$1000,47,FALSE)</f>
        <v>#N/A</v>
      </c>
      <c r="I157" s="21" t="e">
        <f>VLOOKUP($A157,MINASA!$A$1:$BA$1000,52,FALSE)</f>
        <v>#N/A</v>
      </c>
      <c r="J157" s="21" t="e">
        <f>VLOOKUP($A157,MINASA!$A$1:$BA$1000,53,FALSE)</f>
        <v>#N/A</v>
      </c>
      <c r="L157" s="20" t="s">
        <v>14</v>
      </c>
      <c r="M157" s="20" t="e">
        <f t="shared" si="3"/>
        <v>#N/A</v>
      </c>
      <c r="N157" s="20" t="s">
        <v>277</v>
      </c>
    </row>
    <row r="158" spans="1:14" ht="81.75" customHeight="1" thickBot="1">
      <c r="A158" s="20">
        <v>157</v>
      </c>
      <c r="B158" s="24" t="e">
        <f>VLOOKUP($A158,MINASA!$A$1:$BA$1000,10,FALSE)</f>
        <v>#N/A</v>
      </c>
      <c r="C158" s="20" t="e">
        <f t="shared" si="4"/>
        <v>#N/A</v>
      </c>
      <c r="D158" s="20" t="e">
        <f>VLOOKUP($A158,MINASA!$A$1:$BA$1000,27,FALSE)</f>
        <v>#N/A</v>
      </c>
      <c r="E158" s="20" t="e">
        <f>VLOOKUP($A158,MINASA!$A$1:$BA$1000,26,FALSE)</f>
        <v>#N/A</v>
      </c>
      <c r="F158" s="21" t="e">
        <f>VLOOKUP($A158,MINASA!$A$1:$BA$1000,30,FALSE)</f>
        <v>#N/A</v>
      </c>
      <c r="G158" s="20" t="e">
        <f>VLOOKUP($A158,MINASA!$A$1:$BA$1000,31,FALSE)</f>
        <v>#N/A</v>
      </c>
      <c r="H158" s="20" t="e">
        <f>VLOOKUP($A158,MINASA!$A$1:$BA$1000,47,FALSE)</f>
        <v>#N/A</v>
      </c>
      <c r="I158" s="21" t="e">
        <f>VLOOKUP($A158,MINASA!$A$1:$BA$1000,52,FALSE)</f>
        <v>#N/A</v>
      </c>
      <c r="J158" s="21" t="e">
        <f>VLOOKUP($A158,MINASA!$A$1:$BA$1000,53,FALSE)</f>
        <v>#N/A</v>
      </c>
      <c r="L158" s="20" t="s">
        <v>14</v>
      </c>
      <c r="M158" s="20" t="e">
        <f t="shared" si="3"/>
        <v>#N/A</v>
      </c>
      <c r="N158" s="20" t="s">
        <v>278</v>
      </c>
    </row>
    <row r="159" spans="1:14" ht="81.75" customHeight="1" thickBot="1">
      <c r="A159" s="20">
        <v>158</v>
      </c>
      <c r="B159" s="24" t="e">
        <f>VLOOKUP($A159,MINASA!$A$1:$BA$1000,10,FALSE)</f>
        <v>#N/A</v>
      </c>
      <c r="C159" s="20" t="e">
        <f t="shared" si="4"/>
        <v>#N/A</v>
      </c>
      <c r="D159" s="20" t="e">
        <f>VLOOKUP($A159,MINASA!$A$1:$BA$1000,27,FALSE)</f>
        <v>#N/A</v>
      </c>
      <c r="E159" s="20" t="e">
        <f>VLOOKUP($A159,MINASA!$A$1:$BA$1000,26,FALSE)</f>
        <v>#N/A</v>
      </c>
      <c r="F159" s="21" t="e">
        <f>VLOOKUP($A159,MINASA!$A$1:$BA$1000,30,FALSE)</f>
        <v>#N/A</v>
      </c>
      <c r="G159" s="20" t="e">
        <f>VLOOKUP($A159,MINASA!$A$1:$BA$1000,31,FALSE)</f>
        <v>#N/A</v>
      </c>
      <c r="H159" s="20" t="e">
        <f>VLOOKUP($A159,MINASA!$A$1:$BA$1000,47,FALSE)</f>
        <v>#N/A</v>
      </c>
      <c r="I159" s="21" t="e">
        <f>VLOOKUP($A159,MINASA!$A$1:$BA$1000,52,FALSE)</f>
        <v>#N/A</v>
      </c>
      <c r="J159" s="21" t="e">
        <f>VLOOKUP($A159,MINASA!$A$1:$BA$1000,53,FALSE)</f>
        <v>#N/A</v>
      </c>
      <c r="L159" s="20" t="s">
        <v>14</v>
      </c>
      <c r="M159" s="20" t="e">
        <f t="shared" si="3"/>
        <v>#N/A</v>
      </c>
      <c r="N159" s="20" t="s">
        <v>279</v>
      </c>
    </row>
    <row r="160" spans="1:14" ht="81.75" customHeight="1" thickBot="1">
      <c r="A160" s="20">
        <v>159</v>
      </c>
      <c r="B160" s="24" t="e">
        <f>VLOOKUP($A160,MINASA!$A$1:$BA$1000,10,FALSE)</f>
        <v>#N/A</v>
      </c>
      <c r="C160" s="20" t="e">
        <f t="shared" si="4"/>
        <v>#N/A</v>
      </c>
      <c r="D160" s="20" t="e">
        <f>VLOOKUP($A160,MINASA!$A$1:$BA$1000,27,FALSE)</f>
        <v>#N/A</v>
      </c>
      <c r="E160" s="20" t="e">
        <f>VLOOKUP($A160,MINASA!$A$1:$BA$1000,26,FALSE)</f>
        <v>#N/A</v>
      </c>
      <c r="F160" s="21" t="e">
        <f>VLOOKUP($A160,MINASA!$A$1:$BA$1000,30,FALSE)</f>
        <v>#N/A</v>
      </c>
      <c r="G160" s="20" t="e">
        <f>VLOOKUP($A160,MINASA!$A$1:$BA$1000,31,FALSE)</f>
        <v>#N/A</v>
      </c>
      <c r="H160" s="20" t="e">
        <f>VLOOKUP($A160,MINASA!$A$1:$BA$1000,47,FALSE)</f>
        <v>#N/A</v>
      </c>
      <c r="I160" s="21" t="e">
        <f>VLOOKUP($A160,MINASA!$A$1:$BA$1000,52,FALSE)</f>
        <v>#N/A</v>
      </c>
      <c r="J160" s="21" t="e">
        <f>VLOOKUP($A160,MINASA!$A$1:$BA$1000,53,FALSE)</f>
        <v>#N/A</v>
      </c>
      <c r="L160" s="20" t="s">
        <v>14</v>
      </c>
      <c r="M160" s="20" t="e">
        <f t="shared" si="3"/>
        <v>#N/A</v>
      </c>
      <c r="N160" s="20" t="s">
        <v>280</v>
      </c>
    </row>
    <row r="161" spans="1:14" ht="81.75" customHeight="1" thickBot="1">
      <c r="A161" s="20">
        <v>160</v>
      </c>
      <c r="B161" s="24" t="e">
        <f>VLOOKUP($A161,MINASA!$A$1:$BA$1000,10,FALSE)</f>
        <v>#N/A</v>
      </c>
      <c r="C161" s="20" t="e">
        <f t="shared" si="4"/>
        <v>#N/A</v>
      </c>
      <c r="D161" s="20" t="e">
        <f>VLOOKUP($A161,MINASA!$A$1:$BA$1000,27,FALSE)</f>
        <v>#N/A</v>
      </c>
      <c r="E161" s="20" t="e">
        <f>VLOOKUP($A161,MINASA!$A$1:$BA$1000,26,FALSE)</f>
        <v>#N/A</v>
      </c>
      <c r="F161" s="21" t="e">
        <f>VLOOKUP($A161,MINASA!$A$1:$BA$1000,30,FALSE)</f>
        <v>#N/A</v>
      </c>
      <c r="G161" s="20" t="e">
        <f>VLOOKUP($A161,MINASA!$A$1:$BA$1000,31,FALSE)</f>
        <v>#N/A</v>
      </c>
      <c r="H161" s="20" t="e">
        <f>VLOOKUP($A161,MINASA!$A$1:$BA$1000,47,FALSE)</f>
        <v>#N/A</v>
      </c>
      <c r="I161" s="21" t="e">
        <f>VLOOKUP($A161,MINASA!$A$1:$BA$1000,52,FALSE)</f>
        <v>#N/A</v>
      </c>
      <c r="J161" s="21" t="e">
        <f>VLOOKUP($A161,MINASA!$A$1:$BA$1000,53,FALSE)</f>
        <v>#N/A</v>
      </c>
      <c r="L161" s="20" t="s">
        <v>14</v>
      </c>
      <c r="M161" s="20" t="e">
        <f t="shared" si="3"/>
        <v>#N/A</v>
      </c>
      <c r="N161" s="20" t="s">
        <v>281</v>
      </c>
    </row>
    <row r="162" spans="1:14" ht="81.75" customHeight="1" thickBot="1">
      <c r="A162" s="20">
        <v>161</v>
      </c>
      <c r="B162" s="24" t="e">
        <f>VLOOKUP($A162,MINASA!$A$1:$BA$1000,10,FALSE)</f>
        <v>#N/A</v>
      </c>
      <c r="C162" s="20" t="e">
        <f t="shared" si="4"/>
        <v>#N/A</v>
      </c>
      <c r="D162" s="20" t="e">
        <f>VLOOKUP($A162,MINASA!$A$1:$BA$1000,27,FALSE)</f>
        <v>#N/A</v>
      </c>
      <c r="E162" s="20" t="e">
        <f>VLOOKUP($A162,MINASA!$A$1:$BA$1000,26,FALSE)</f>
        <v>#N/A</v>
      </c>
      <c r="F162" s="21" t="e">
        <f>VLOOKUP($A162,MINASA!$A$1:$BA$1000,30,FALSE)</f>
        <v>#N/A</v>
      </c>
      <c r="G162" s="20" t="e">
        <f>VLOOKUP($A162,MINASA!$A$1:$BA$1000,31,FALSE)</f>
        <v>#N/A</v>
      </c>
      <c r="H162" s="20" t="e">
        <f>VLOOKUP($A162,MINASA!$A$1:$BA$1000,47,FALSE)</f>
        <v>#N/A</v>
      </c>
      <c r="I162" s="21" t="e">
        <f>VLOOKUP($A162,MINASA!$A$1:$BA$1000,52,FALSE)</f>
        <v>#N/A</v>
      </c>
      <c r="J162" s="21" t="e">
        <f>VLOOKUP($A162,MINASA!$A$1:$BA$1000,53,FALSE)</f>
        <v>#N/A</v>
      </c>
      <c r="L162" s="20" t="s">
        <v>14</v>
      </c>
      <c r="M162" s="20" t="e">
        <f t="shared" si="3"/>
        <v>#N/A</v>
      </c>
      <c r="N162" s="20" t="s">
        <v>282</v>
      </c>
    </row>
    <row r="163" spans="1:14" ht="81.75" customHeight="1" thickBot="1">
      <c r="A163" s="20">
        <v>162</v>
      </c>
      <c r="B163" s="24" t="e">
        <f>VLOOKUP($A163,MINASA!$A$1:$BA$1000,10,FALSE)</f>
        <v>#N/A</v>
      </c>
      <c r="C163" s="20" t="e">
        <f t="shared" si="4"/>
        <v>#N/A</v>
      </c>
      <c r="D163" s="20" t="e">
        <f>VLOOKUP($A163,MINASA!$A$1:$BA$1000,27,FALSE)</f>
        <v>#N/A</v>
      </c>
      <c r="E163" s="20" t="e">
        <f>VLOOKUP($A163,MINASA!$A$1:$BA$1000,26,FALSE)</f>
        <v>#N/A</v>
      </c>
      <c r="F163" s="21" t="e">
        <f>VLOOKUP($A163,MINASA!$A$1:$BA$1000,30,FALSE)</f>
        <v>#N/A</v>
      </c>
      <c r="G163" s="20" t="e">
        <f>VLOOKUP($A163,MINASA!$A$1:$BA$1000,31,FALSE)</f>
        <v>#N/A</v>
      </c>
      <c r="H163" s="20" t="e">
        <f>VLOOKUP($A163,MINASA!$A$1:$BA$1000,47,FALSE)</f>
        <v>#N/A</v>
      </c>
      <c r="I163" s="21" t="e">
        <f>VLOOKUP($A163,MINASA!$A$1:$BA$1000,52,FALSE)</f>
        <v>#N/A</v>
      </c>
      <c r="J163" s="21" t="e">
        <f>VLOOKUP($A163,MINASA!$A$1:$BA$1000,53,FALSE)</f>
        <v>#N/A</v>
      </c>
      <c r="L163" s="20" t="s">
        <v>14</v>
      </c>
      <c r="M163" s="20" t="e">
        <f t="shared" si="3"/>
        <v>#N/A</v>
      </c>
      <c r="N163" s="20" t="s">
        <v>283</v>
      </c>
    </row>
    <row r="164" spans="1:14" ht="81.75" customHeight="1" thickBot="1">
      <c r="A164" s="20">
        <v>163</v>
      </c>
      <c r="B164" s="24" t="e">
        <f>VLOOKUP($A164,MINASA!$A$1:$BA$1000,10,FALSE)</f>
        <v>#N/A</v>
      </c>
      <c r="C164" s="20" t="e">
        <f t="shared" si="4"/>
        <v>#N/A</v>
      </c>
      <c r="D164" s="20" t="e">
        <f>VLOOKUP($A164,MINASA!$A$1:$BA$1000,27,FALSE)</f>
        <v>#N/A</v>
      </c>
      <c r="E164" s="20" t="e">
        <f>VLOOKUP($A164,MINASA!$A$1:$BA$1000,26,FALSE)</f>
        <v>#N/A</v>
      </c>
      <c r="F164" s="21" t="e">
        <f>VLOOKUP($A164,MINASA!$A$1:$BA$1000,30,FALSE)</f>
        <v>#N/A</v>
      </c>
      <c r="G164" s="20" t="e">
        <f>VLOOKUP($A164,MINASA!$A$1:$BA$1000,31,FALSE)</f>
        <v>#N/A</v>
      </c>
      <c r="H164" s="20" t="e">
        <f>VLOOKUP($A164,MINASA!$A$1:$BA$1000,47,FALSE)</f>
        <v>#N/A</v>
      </c>
      <c r="I164" s="21" t="e">
        <f>VLOOKUP($A164,MINASA!$A$1:$BA$1000,52,FALSE)</f>
        <v>#N/A</v>
      </c>
      <c r="J164" s="21" t="e">
        <f>VLOOKUP($A164,MINASA!$A$1:$BA$1000,53,FALSE)</f>
        <v>#N/A</v>
      </c>
      <c r="L164" s="20" t="s">
        <v>14</v>
      </c>
      <c r="M164" s="20" t="e">
        <f t="shared" si="3"/>
        <v>#N/A</v>
      </c>
      <c r="N164" s="20" t="s">
        <v>284</v>
      </c>
    </row>
    <row r="165" spans="1:14" ht="81.75" customHeight="1" thickBot="1">
      <c r="A165" s="20">
        <v>164</v>
      </c>
      <c r="B165" s="24" t="e">
        <f>VLOOKUP($A165,MINASA!$A$1:$BA$1000,10,FALSE)</f>
        <v>#N/A</v>
      </c>
      <c r="C165" s="20" t="e">
        <f t="shared" si="4"/>
        <v>#N/A</v>
      </c>
      <c r="D165" s="20" t="e">
        <f>VLOOKUP($A165,MINASA!$A$1:$BA$1000,27,FALSE)</f>
        <v>#N/A</v>
      </c>
      <c r="E165" s="20" t="e">
        <f>VLOOKUP($A165,MINASA!$A$1:$BA$1000,26,FALSE)</f>
        <v>#N/A</v>
      </c>
      <c r="F165" s="21" t="e">
        <f>VLOOKUP($A165,MINASA!$A$1:$BA$1000,30,FALSE)</f>
        <v>#N/A</v>
      </c>
      <c r="G165" s="20" t="e">
        <f>VLOOKUP($A165,MINASA!$A$1:$BA$1000,31,FALSE)</f>
        <v>#N/A</v>
      </c>
      <c r="H165" s="20" t="e">
        <f>VLOOKUP($A165,MINASA!$A$1:$BA$1000,47,FALSE)</f>
        <v>#N/A</v>
      </c>
      <c r="I165" s="21" t="e">
        <f>VLOOKUP($A165,MINASA!$A$1:$BA$1000,52,FALSE)</f>
        <v>#N/A</v>
      </c>
      <c r="J165" s="21" t="e">
        <f>VLOOKUP($A165,MINASA!$A$1:$BA$1000,53,FALSE)</f>
        <v>#N/A</v>
      </c>
      <c r="L165" s="20" t="s">
        <v>14</v>
      </c>
      <c r="M165" s="20" t="e">
        <f t="shared" si="3"/>
        <v>#N/A</v>
      </c>
      <c r="N165" s="20" t="s">
        <v>285</v>
      </c>
    </row>
    <row r="166" spans="1:14" ht="81.75" customHeight="1" thickBot="1">
      <c r="A166" s="20">
        <v>165</v>
      </c>
      <c r="B166" s="24" t="e">
        <f>VLOOKUP($A166,MINASA!$A$1:$BA$1000,10,FALSE)</f>
        <v>#N/A</v>
      </c>
      <c r="C166" s="20" t="e">
        <f t="shared" si="4"/>
        <v>#N/A</v>
      </c>
      <c r="D166" s="20" t="e">
        <f>VLOOKUP($A166,MINASA!$A$1:$BA$1000,27,FALSE)</f>
        <v>#N/A</v>
      </c>
      <c r="E166" s="20" t="e">
        <f>VLOOKUP($A166,MINASA!$A$1:$BA$1000,26,FALSE)</f>
        <v>#N/A</v>
      </c>
      <c r="F166" s="21" t="e">
        <f>VLOOKUP($A166,MINASA!$A$1:$BA$1000,30,FALSE)</f>
        <v>#N/A</v>
      </c>
      <c r="G166" s="20" t="e">
        <f>VLOOKUP($A166,MINASA!$A$1:$BA$1000,31,FALSE)</f>
        <v>#N/A</v>
      </c>
      <c r="H166" s="20" t="e">
        <f>VLOOKUP($A166,MINASA!$A$1:$BA$1000,47,FALSE)</f>
        <v>#N/A</v>
      </c>
      <c r="I166" s="21" t="e">
        <f>VLOOKUP($A166,MINASA!$A$1:$BA$1000,52,FALSE)</f>
        <v>#N/A</v>
      </c>
      <c r="J166" s="21" t="e">
        <f>VLOOKUP($A166,MINASA!$A$1:$BA$1000,53,FALSE)</f>
        <v>#N/A</v>
      </c>
      <c r="L166" s="20" t="s">
        <v>14</v>
      </c>
      <c r="M166" s="20" t="e">
        <f t="shared" si="3"/>
        <v>#N/A</v>
      </c>
      <c r="N166" s="20" t="s">
        <v>286</v>
      </c>
    </row>
    <row r="167" spans="1:14" ht="81.75" customHeight="1" thickBot="1">
      <c r="A167" s="20">
        <v>166</v>
      </c>
      <c r="B167" s="24" t="e">
        <f>VLOOKUP($A167,MINASA!$A$1:$BA$1000,10,FALSE)</f>
        <v>#N/A</v>
      </c>
      <c r="C167" s="20" t="e">
        <f t="shared" si="4"/>
        <v>#N/A</v>
      </c>
      <c r="D167" s="20" t="e">
        <f>VLOOKUP($A167,MINASA!$A$1:$BA$1000,27,FALSE)</f>
        <v>#N/A</v>
      </c>
      <c r="E167" s="20" t="e">
        <f>VLOOKUP($A167,MINASA!$A$1:$BA$1000,26,FALSE)</f>
        <v>#N/A</v>
      </c>
      <c r="F167" s="21" t="e">
        <f>VLOOKUP($A167,MINASA!$A$1:$BA$1000,30,FALSE)</f>
        <v>#N/A</v>
      </c>
      <c r="G167" s="20" t="e">
        <f>VLOOKUP($A167,MINASA!$A$1:$BA$1000,31,FALSE)</f>
        <v>#N/A</v>
      </c>
      <c r="H167" s="20" t="e">
        <f>VLOOKUP($A167,MINASA!$A$1:$BA$1000,47,FALSE)</f>
        <v>#N/A</v>
      </c>
      <c r="I167" s="21" t="e">
        <f>VLOOKUP($A167,MINASA!$A$1:$BA$1000,52,FALSE)</f>
        <v>#N/A</v>
      </c>
      <c r="J167" s="21" t="e">
        <f>VLOOKUP($A167,MINASA!$A$1:$BA$1000,53,FALSE)</f>
        <v>#N/A</v>
      </c>
      <c r="L167" s="20" t="s">
        <v>14</v>
      </c>
      <c r="M167" s="20" t="e">
        <f t="shared" si="3"/>
        <v>#N/A</v>
      </c>
      <c r="N167" s="20" t="s">
        <v>287</v>
      </c>
    </row>
    <row r="168" spans="1:14" ht="81.75" customHeight="1" thickBot="1">
      <c r="A168" s="20">
        <v>167</v>
      </c>
      <c r="B168" s="24" t="e">
        <f>VLOOKUP($A168,MINASA!$A$1:$BA$1000,10,FALSE)</f>
        <v>#N/A</v>
      </c>
      <c r="C168" s="20" t="e">
        <f t="shared" si="4"/>
        <v>#N/A</v>
      </c>
      <c r="D168" s="20" t="e">
        <f>VLOOKUP($A168,MINASA!$A$1:$BA$1000,27,FALSE)</f>
        <v>#N/A</v>
      </c>
      <c r="E168" s="20" t="e">
        <f>VLOOKUP($A168,MINASA!$A$1:$BA$1000,26,FALSE)</f>
        <v>#N/A</v>
      </c>
      <c r="F168" s="21" t="e">
        <f>VLOOKUP($A168,MINASA!$A$1:$BA$1000,30,FALSE)</f>
        <v>#N/A</v>
      </c>
      <c r="G168" s="20" t="e">
        <f>VLOOKUP($A168,MINASA!$A$1:$BA$1000,31,FALSE)</f>
        <v>#N/A</v>
      </c>
      <c r="H168" s="20" t="e">
        <f>VLOOKUP($A168,MINASA!$A$1:$BA$1000,47,FALSE)</f>
        <v>#N/A</v>
      </c>
      <c r="I168" s="21" t="e">
        <f>VLOOKUP($A168,MINASA!$A$1:$BA$1000,52,FALSE)</f>
        <v>#N/A</v>
      </c>
      <c r="J168" s="21" t="e">
        <f>VLOOKUP($A168,MINASA!$A$1:$BA$1000,53,FALSE)</f>
        <v>#N/A</v>
      </c>
      <c r="L168" s="20" t="s">
        <v>14</v>
      </c>
      <c r="M168" s="20" t="e">
        <f t="shared" si="3"/>
        <v>#N/A</v>
      </c>
      <c r="N168" s="20" t="s">
        <v>288</v>
      </c>
    </row>
    <row r="169" spans="1:14" ht="81.75" customHeight="1" thickBot="1">
      <c r="A169" s="20">
        <v>168</v>
      </c>
      <c r="B169" s="24" t="e">
        <f>VLOOKUP($A169,MINASA!$A$1:$BA$1000,10,FALSE)</f>
        <v>#N/A</v>
      </c>
      <c r="C169" s="20" t="e">
        <f t="shared" si="4"/>
        <v>#N/A</v>
      </c>
      <c r="D169" s="20" t="e">
        <f>VLOOKUP($A169,MINASA!$A$1:$BA$1000,27,FALSE)</f>
        <v>#N/A</v>
      </c>
      <c r="E169" s="20" t="e">
        <f>VLOOKUP($A169,MINASA!$A$1:$BA$1000,26,FALSE)</f>
        <v>#N/A</v>
      </c>
      <c r="F169" s="21" t="e">
        <f>VLOOKUP($A169,MINASA!$A$1:$BA$1000,30,FALSE)</f>
        <v>#N/A</v>
      </c>
      <c r="G169" s="20" t="e">
        <f>VLOOKUP($A169,MINASA!$A$1:$BA$1000,31,FALSE)</f>
        <v>#N/A</v>
      </c>
      <c r="H169" s="20" t="e">
        <f>VLOOKUP($A169,MINASA!$A$1:$BA$1000,47,FALSE)</f>
        <v>#N/A</v>
      </c>
      <c r="I169" s="21" t="e">
        <f>VLOOKUP($A169,MINASA!$A$1:$BA$1000,52,FALSE)</f>
        <v>#N/A</v>
      </c>
      <c r="J169" s="21" t="e">
        <f>VLOOKUP($A169,MINASA!$A$1:$BA$1000,53,FALSE)</f>
        <v>#N/A</v>
      </c>
      <c r="L169" s="20" t="s">
        <v>14</v>
      </c>
      <c r="M169" s="20" t="e">
        <f t="shared" si="3"/>
        <v>#N/A</v>
      </c>
      <c r="N169" s="20" t="s">
        <v>289</v>
      </c>
    </row>
    <row r="170" spans="1:14" ht="81.75" customHeight="1" thickBot="1">
      <c r="A170" s="20">
        <v>169</v>
      </c>
      <c r="B170" s="24" t="e">
        <f>VLOOKUP($A170,MINASA!$A$1:$BA$1000,10,FALSE)</f>
        <v>#N/A</v>
      </c>
      <c r="C170" s="20" t="e">
        <f t="shared" si="4"/>
        <v>#N/A</v>
      </c>
      <c r="D170" s="20" t="e">
        <f>VLOOKUP($A170,MINASA!$A$1:$BA$1000,27,FALSE)</f>
        <v>#N/A</v>
      </c>
      <c r="E170" s="20" t="e">
        <f>VLOOKUP($A170,MINASA!$A$1:$BA$1000,26,FALSE)</f>
        <v>#N/A</v>
      </c>
      <c r="F170" s="21" t="e">
        <f>VLOOKUP($A170,MINASA!$A$1:$BA$1000,30,FALSE)</f>
        <v>#N/A</v>
      </c>
      <c r="G170" s="20" t="e">
        <f>VLOOKUP($A170,MINASA!$A$1:$BA$1000,31,FALSE)</f>
        <v>#N/A</v>
      </c>
      <c r="H170" s="20" t="e">
        <f>VLOOKUP($A170,MINASA!$A$1:$BA$1000,47,FALSE)</f>
        <v>#N/A</v>
      </c>
      <c r="I170" s="21" t="e">
        <f>VLOOKUP($A170,MINASA!$A$1:$BA$1000,52,FALSE)</f>
        <v>#N/A</v>
      </c>
      <c r="J170" s="21" t="e">
        <f>VLOOKUP($A170,MINASA!$A$1:$BA$1000,53,FALSE)</f>
        <v>#N/A</v>
      </c>
      <c r="L170" s="20" t="s">
        <v>14</v>
      </c>
      <c r="M170" s="20" t="e">
        <f t="shared" ref="M170:M233" si="5">CONCATENATE(L170,C170,".jpg")</f>
        <v>#N/A</v>
      </c>
      <c r="N170" s="20" t="s">
        <v>290</v>
      </c>
    </row>
    <row r="171" spans="1:14" ht="81.75" customHeight="1" thickBot="1">
      <c r="A171" s="20">
        <v>170</v>
      </c>
      <c r="B171" s="24" t="e">
        <f>VLOOKUP($A171,MINASA!$A$1:$BA$1000,10,FALSE)</f>
        <v>#N/A</v>
      </c>
      <c r="C171" s="20" t="e">
        <f t="shared" si="4"/>
        <v>#N/A</v>
      </c>
      <c r="D171" s="20" t="e">
        <f>VLOOKUP($A171,MINASA!$A$1:$BA$1000,27,FALSE)</f>
        <v>#N/A</v>
      </c>
      <c r="E171" s="20" t="e">
        <f>VLOOKUP($A171,MINASA!$A$1:$BA$1000,26,FALSE)</f>
        <v>#N/A</v>
      </c>
      <c r="F171" s="21" t="e">
        <f>VLOOKUP($A171,MINASA!$A$1:$BA$1000,30,FALSE)</f>
        <v>#N/A</v>
      </c>
      <c r="G171" s="20" t="e">
        <f>VLOOKUP($A171,MINASA!$A$1:$BA$1000,31,FALSE)</f>
        <v>#N/A</v>
      </c>
      <c r="H171" s="20" t="e">
        <f>VLOOKUP($A171,MINASA!$A$1:$BA$1000,47,FALSE)</f>
        <v>#N/A</v>
      </c>
      <c r="I171" s="21" t="e">
        <f>VLOOKUP($A171,MINASA!$A$1:$BA$1000,52,FALSE)</f>
        <v>#N/A</v>
      </c>
      <c r="J171" s="21" t="e">
        <f>VLOOKUP($A171,MINASA!$A$1:$BA$1000,53,FALSE)</f>
        <v>#N/A</v>
      </c>
      <c r="L171" s="20" t="s">
        <v>14</v>
      </c>
      <c r="M171" s="20" t="e">
        <f t="shared" si="5"/>
        <v>#N/A</v>
      </c>
      <c r="N171" s="20" t="s">
        <v>291</v>
      </c>
    </row>
    <row r="172" spans="1:14" ht="81.75" customHeight="1" thickBot="1">
      <c r="A172" s="20">
        <v>171</v>
      </c>
      <c r="B172" s="24" t="e">
        <f>VLOOKUP($A172,MINASA!$A$1:$BA$1000,10,FALSE)</f>
        <v>#N/A</v>
      </c>
      <c r="C172" s="20" t="e">
        <f t="shared" si="4"/>
        <v>#N/A</v>
      </c>
      <c r="D172" s="20" t="e">
        <f>VLOOKUP($A172,MINASA!$A$1:$BA$1000,27,FALSE)</f>
        <v>#N/A</v>
      </c>
      <c r="E172" s="20" t="e">
        <f>VLOOKUP($A172,MINASA!$A$1:$BA$1000,26,FALSE)</f>
        <v>#N/A</v>
      </c>
      <c r="F172" s="21" t="e">
        <f>VLOOKUP($A172,MINASA!$A$1:$BA$1000,30,FALSE)</f>
        <v>#N/A</v>
      </c>
      <c r="G172" s="20" t="e">
        <f>VLOOKUP($A172,MINASA!$A$1:$BA$1000,31,FALSE)</f>
        <v>#N/A</v>
      </c>
      <c r="H172" s="20" t="e">
        <f>VLOOKUP($A172,MINASA!$A$1:$BA$1000,47,FALSE)</f>
        <v>#N/A</v>
      </c>
      <c r="I172" s="21" t="e">
        <f>VLOOKUP($A172,MINASA!$A$1:$BA$1000,52,FALSE)</f>
        <v>#N/A</v>
      </c>
      <c r="J172" s="21" t="e">
        <f>VLOOKUP($A172,MINASA!$A$1:$BA$1000,53,FALSE)</f>
        <v>#N/A</v>
      </c>
      <c r="L172" s="20" t="s">
        <v>14</v>
      </c>
      <c r="M172" s="20" t="e">
        <f t="shared" si="5"/>
        <v>#N/A</v>
      </c>
      <c r="N172" s="20" t="s">
        <v>292</v>
      </c>
    </row>
    <row r="173" spans="1:14" ht="81.75" customHeight="1" thickBot="1">
      <c r="A173" s="20">
        <v>172</v>
      </c>
      <c r="B173" s="24" t="e">
        <f>VLOOKUP($A173,MINASA!$A$1:$BA$1000,10,FALSE)</f>
        <v>#N/A</v>
      </c>
      <c r="C173" s="20" t="e">
        <f t="shared" si="4"/>
        <v>#N/A</v>
      </c>
      <c r="D173" s="20" t="e">
        <f>VLOOKUP($A173,MINASA!$A$1:$BA$1000,27,FALSE)</f>
        <v>#N/A</v>
      </c>
      <c r="E173" s="20" t="e">
        <f>VLOOKUP($A173,MINASA!$A$1:$BA$1000,26,FALSE)</f>
        <v>#N/A</v>
      </c>
      <c r="F173" s="21" t="e">
        <f>VLOOKUP($A173,MINASA!$A$1:$BA$1000,30,FALSE)</f>
        <v>#N/A</v>
      </c>
      <c r="G173" s="20" t="e">
        <f>VLOOKUP($A173,MINASA!$A$1:$BA$1000,31,FALSE)</f>
        <v>#N/A</v>
      </c>
      <c r="H173" s="20" t="e">
        <f>VLOOKUP($A173,MINASA!$A$1:$BA$1000,47,FALSE)</f>
        <v>#N/A</v>
      </c>
      <c r="I173" s="21" t="e">
        <f>VLOOKUP($A173,MINASA!$A$1:$BA$1000,52,FALSE)</f>
        <v>#N/A</v>
      </c>
      <c r="J173" s="21" t="e">
        <f>VLOOKUP($A173,MINASA!$A$1:$BA$1000,53,FALSE)</f>
        <v>#N/A</v>
      </c>
      <c r="L173" s="20" t="s">
        <v>14</v>
      </c>
      <c r="M173" s="20" t="e">
        <f t="shared" si="5"/>
        <v>#N/A</v>
      </c>
      <c r="N173" s="20" t="s">
        <v>293</v>
      </c>
    </row>
    <row r="174" spans="1:14" ht="81.75" customHeight="1" thickBot="1">
      <c r="A174" s="20">
        <v>173</v>
      </c>
      <c r="B174" s="24" t="e">
        <f>VLOOKUP($A174,MINASA!$A$1:$BA$1000,10,FALSE)</f>
        <v>#N/A</v>
      </c>
      <c r="C174" s="20" t="e">
        <f t="shared" si="4"/>
        <v>#N/A</v>
      </c>
      <c r="D174" s="20" t="e">
        <f>VLOOKUP($A174,MINASA!$A$1:$BA$1000,27,FALSE)</f>
        <v>#N/A</v>
      </c>
      <c r="E174" s="20" t="e">
        <f>VLOOKUP($A174,MINASA!$A$1:$BA$1000,26,FALSE)</f>
        <v>#N/A</v>
      </c>
      <c r="F174" s="21" t="e">
        <f>VLOOKUP($A174,MINASA!$A$1:$BA$1000,30,FALSE)</f>
        <v>#N/A</v>
      </c>
      <c r="G174" s="20" t="e">
        <f>VLOOKUP($A174,MINASA!$A$1:$BA$1000,31,FALSE)</f>
        <v>#N/A</v>
      </c>
      <c r="H174" s="20" t="e">
        <f>VLOOKUP($A174,MINASA!$A$1:$BA$1000,47,FALSE)</f>
        <v>#N/A</v>
      </c>
      <c r="I174" s="21" t="e">
        <f>VLOOKUP($A174,MINASA!$A$1:$BA$1000,52,FALSE)</f>
        <v>#N/A</v>
      </c>
      <c r="J174" s="21" t="e">
        <f>VLOOKUP($A174,MINASA!$A$1:$BA$1000,53,FALSE)</f>
        <v>#N/A</v>
      </c>
      <c r="L174" s="20" t="s">
        <v>14</v>
      </c>
      <c r="M174" s="20" t="e">
        <f t="shared" si="5"/>
        <v>#N/A</v>
      </c>
      <c r="N174" s="20" t="s">
        <v>294</v>
      </c>
    </row>
    <row r="175" spans="1:14" ht="81.75" customHeight="1" thickBot="1">
      <c r="A175" s="20">
        <v>174</v>
      </c>
      <c r="B175" s="24" t="e">
        <f>VLOOKUP($A175,MINASA!$A$1:$BA$1000,10,FALSE)</f>
        <v>#N/A</v>
      </c>
      <c r="C175" s="20" t="e">
        <f t="shared" si="4"/>
        <v>#N/A</v>
      </c>
      <c r="D175" s="20" t="e">
        <f>VLOOKUP($A175,MINASA!$A$1:$BA$1000,27,FALSE)</f>
        <v>#N/A</v>
      </c>
      <c r="E175" s="20" t="e">
        <f>VLOOKUP($A175,MINASA!$A$1:$BA$1000,26,FALSE)</f>
        <v>#N/A</v>
      </c>
      <c r="F175" s="21" t="e">
        <f>VLOOKUP($A175,MINASA!$A$1:$BA$1000,30,FALSE)</f>
        <v>#N/A</v>
      </c>
      <c r="G175" s="20" t="e">
        <f>VLOOKUP($A175,MINASA!$A$1:$BA$1000,31,FALSE)</f>
        <v>#N/A</v>
      </c>
      <c r="H175" s="20" t="e">
        <f>VLOOKUP($A175,MINASA!$A$1:$BA$1000,47,FALSE)</f>
        <v>#N/A</v>
      </c>
      <c r="I175" s="21" t="e">
        <f>VLOOKUP($A175,MINASA!$A$1:$BA$1000,52,FALSE)</f>
        <v>#N/A</v>
      </c>
      <c r="J175" s="21" t="e">
        <f>VLOOKUP($A175,MINASA!$A$1:$BA$1000,53,FALSE)</f>
        <v>#N/A</v>
      </c>
      <c r="L175" s="20" t="s">
        <v>14</v>
      </c>
      <c r="M175" s="20" t="e">
        <f t="shared" si="5"/>
        <v>#N/A</v>
      </c>
      <c r="N175" s="20" t="s">
        <v>295</v>
      </c>
    </row>
    <row r="176" spans="1:14" ht="81.75" customHeight="1" thickBot="1">
      <c r="A176" s="20">
        <v>175</v>
      </c>
      <c r="B176" s="24" t="e">
        <f>VLOOKUP($A176,MINASA!$A$1:$BA$1000,10,FALSE)</f>
        <v>#N/A</v>
      </c>
      <c r="C176" s="20" t="e">
        <f t="shared" si="4"/>
        <v>#N/A</v>
      </c>
      <c r="D176" s="20" t="e">
        <f>VLOOKUP($A176,MINASA!$A$1:$BA$1000,27,FALSE)</f>
        <v>#N/A</v>
      </c>
      <c r="E176" s="20" t="e">
        <f>VLOOKUP($A176,MINASA!$A$1:$BA$1000,26,FALSE)</f>
        <v>#N/A</v>
      </c>
      <c r="F176" s="21" t="e">
        <f>VLOOKUP($A176,MINASA!$A$1:$BA$1000,30,FALSE)</f>
        <v>#N/A</v>
      </c>
      <c r="G176" s="20" t="e">
        <f>VLOOKUP($A176,MINASA!$A$1:$BA$1000,31,FALSE)</f>
        <v>#N/A</v>
      </c>
      <c r="H176" s="20" t="e">
        <f>VLOOKUP($A176,MINASA!$A$1:$BA$1000,47,FALSE)</f>
        <v>#N/A</v>
      </c>
      <c r="I176" s="21" t="e">
        <f>VLOOKUP($A176,MINASA!$A$1:$BA$1000,52,FALSE)</f>
        <v>#N/A</v>
      </c>
      <c r="J176" s="21" t="e">
        <f>VLOOKUP($A176,MINASA!$A$1:$BA$1000,53,FALSE)</f>
        <v>#N/A</v>
      </c>
      <c r="L176" s="20" t="s">
        <v>14</v>
      </c>
      <c r="M176" s="20" t="e">
        <f t="shared" si="5"/>
        <v>#N/A</v>
      </c>
      <c r="N176" s="20" t="s">
        <v>296</v>
      </c>
    </row>
    <row r="177" spans="1:14" ht="81.75" customHeight="1" thickBot="1">
      <c r="A177" s="20">
        <v>176</v>
      </c>
      <c r="B177" s="24" t="e">
        <f>VLOOKUP($A177,MINASA!$A$1:$BA$1000,10,FALSE)</f>
        <v>#N/A</v>
      </c>
      <c r="C177" s="20" t="e">
        <f t="shared" si="4"/>
        <v>#N/A</v>
      </c>
      <c r="D177" s="20" t="e">
        <f>VLOOKUP($A177,MINASA!$A$1:$BA$1000,27,FALSE)</f>
        <v>#N/A</v>
      </c>
      <c r="E177" s="20" t="e">
        <f>VLOOKUP($A177,MINASA!$A$1:$BA$1000,26,FALSE)</f>
        <v>#N/A</v>
      </c>
      <c r="F177" s="21" t="e">
        <f>VLOOKUP($A177,MINASA!$A$1:$BA$1000,30,FALSE)</f>
        <v>#N/A</v>
      </c>
      <c r="G177" s="20" t="e">
        <f>VLOOKUP($A177,MINASA!$A$1:$BA$1000,31,FALSE)</f>
        <v>#N/A</v>
      </c>
      <c r="H177" s="20" t="e">
        <f>VLOOKUP($A177,MINASA!$A$1:$BA$1000,47,FALSE)</f>
        <v>#N/A</v>
      </c>
      <c r="I177" s="21" t="e">
        <f>VLOOKUP($A177,MINASA!$A$1:$BA$1000,52,FALSE)</f>
        <v>#N/A</v>
      </c>
      <c r="J177" s="21" t="e">
        <f>VLOOKUP($A177,MINASA!$A$1:$BA$1000,53,FALSE)</f>
        <v>#N/A</v>
      </c>
      <c r="L177" s="20" t="s">
        <v>14</v>
      </c>
      <c r="M177" s="20" t="e">
        <f t="shared" si="5"/>
        <v>#N/A</v>
      </c>
      <c r="N177" s="20" t="s">
        <v>297</v>
      </c>
    </row>
    <row r="178" spans="1:14" ht="81.75" customHeight="1" thickBot="1">
      <c r="A178" s="20">
        <v>177</v>
      </c>
      <c r="B178" s="24" t="e">
        <f>VLOOKUP($A178,MINASA!$A$1:$BA$1000,10,FALSE)</f>
        <v>#N/A</v>
      </c>
      <c r="C178" s="20" t="e">
        <f t="shared" si="4"/>
        <v>#N/A</v>
      </c>
      <c r="D178" s="20" t="e">
        <f>VLOOKUP($A178,MINASA!$A$1:$BA$1000,27,FALSE)</f>
        <v>#N/A</v>
      </c>
      <c r="E178" s="20" t="e">
        <f>VLOOKUP($A178,MINASA!$A$1:$BA$1000,26,FALSE)</f>
        <v>#N/A</v>
      </c>
      <c r="F178" s="21" t="e">
        <f>VLOOKUP($A178,MINASA!$A$1:$BA$1000,30,FALSE)</f>
        <v>#N/A</v>
      </c>
      <c r="G178" s="20" t="e">
        <f>VLOOKUP($A178,MINASA!$A$1:$BA$1000,31,FALSE)</f>
        <v>#N/A</v>
      </c>
      <c r="H178" s="20" t="e">
        <f>VLOOKUP($A178,MINASA!$A$1:$BA$1000,47,FALSE)</f>
        <v>#N/A</v>
      </c>
      <c r="I178" s="21" t="e">
        <f>VLOOKUP($A178,MINASA!$A$1:$BA$1000,52,FALSE)</f>
        <v>#N/A</v>
      </c>
      <c r="J178" s="21" t="e">
        <f>VLOOKUP($A178,MINASA!$A$1:$BA$1000,53,FALSE)</f>
        <v>#N/A</v>
      </c>
      <c r="L178" s="20" t="s">
        <v>14</v>
      </c>
      <c r="M178" s="20" t="e">
        <f t="shared" si="5"/>
        <v>#N/A</v>
      </c>
      <c r="N178" s="20" t="s">
        <v>298</v>
      </c>
    </row>
    <row r="179" spans="1:14" ht="81.75" customHeight="1" thickBot="1">
      <c r="A179" s="20">
        <v>178</v>
      </c>
      <c r="B179" s="24" t="e">
        <f>VLOOKUP($A179,MINASA!$A$1:$BA$1000,10,FALSE)</f>
        <v>#N/A</v>
      </c>
      <c r="C179" s="20" t="e">
        <f t="shared" si="4"/>
        <v>#N/A</v>
      </c>
      <c r="D179" s="20" t="e">
        <f>VLOOKUP($A179,MINASA!$A$1:$BA$1000,27,FALSE)</f>
        <v>#N/A</v>
      </c>
      <c r="E179" s="20" t="e">
        <f>VLOOKUP($A179,MINASA!$A$1:$BA$1000,26,FALSE)</f>
        <v>#N/A</v>
      </c>
      <c r="F179" s="21" t="e">
        <f>VLOOKUP($A179,MINASA!$A$1:$BA$1000,30,FALSE)</f>
        <v>#N/A</v>
      </c>
      <c r="G179" s="20" t="e">
        <f>VLOOKUP($A179,MINASA!$A$1:$BA$1000,31,FALSE)</f>
        <v>#N/A</v>
      </c>
      <c r="H179" s="20" t="e">
        <f>VLOOKUP($A179,MINASA!$A$1:$BA$1000,47,FALSE)</f>
        <v>#N/A</v>
      </c>
      <c r="I179" s="21" t="e">
        <f>VLOOKUP($A179,MINASA!$A$1:$BA$1000,52,FALSE)</f>
        <v>#N/A</v>
      </c>
      <c r="J179" s="21" t="e">
        <f>VLOOKUP($A179,MINASA!$A$1:$BA$1000,53,FALSE)</f>
        <v>#N/A</v>
      </c>
      <c r="L179" s="20" t="s">
        <v>14</v>
      </c>
      <c r="M179" s="20" t="e">
        <f t="shared" si="5"/>
        <v>#N/A</v>
      </c>
      <c r="N179" s="20" t="s">
        <v>299</v>
      </c>
    </row>
    <row r="180" spans="1:14" ht="81.75" customHeight="1" thickBot="1">
      <c r="A180" s="20">
        <v>179</v>
      </c>
      <c r="B180" s="24" t="e">
        <f>VLOOKUP($A180,MINASA!$A$1:$BA$1000,10,FALSE)</f>
        <v>#N/A</v>
      </c>
      <c r="C180" s="20" t="e">
        <f t="shared" si="4"/>
        <v>#N/A</v>
      </c>
      <c r="D180" s="20" t="e">
        <f>VLOOKUP($A180,MINASA!$A$1:$BA$1000,27,FALSE)</f>
        <v>#N/A</v>
      </c>
      <c r="E180" s="20" t="e">
        <f>VLOOKUP($A180,MINASA!$A$1:$BA$1000,26,FALSE)</f>
        <v>#N/A</v>
      </c>
      <c r="F180" s="21" t="e">
        <f>VLOOKUP($A180,MINASA!$A$1:$BA$1000,30,FALSE)</f>
        <v>#N/A</v>
      </c>
      <c r="G180" s="20" t="e">
        <f>VLOOKUP($A180,MINASA!$A$1:$BA$1000,31,FALSE)</f>
        <v>#N/A</v>
      </c>
      <c r="H180" s="20" t="e">
        <f>VLOOKUP($A180,MINASA!$A$1:$BA$1000,47,FALSE)</f>
        <v>#N/A</v>
      </c>
      <c r="I180" s="21" t="e">
        <f>VLOOKUP($A180,MINASA!$A$1:$BA$1000,52,FALSE)</f>
        <v>#N/A</v>
      </c>
      <c r="J180" s="21" t="e">
        <f>VLOOKUP($A180,MINASA!$A$1:$BA$1000,53,FALSE)</f>
        <v>#N/A</v>
      </c>
      <c r="L180" s="20" t="s">
        <v>14</v>
      </c>
      <c r="M180" s="20" t="e">
        <f t="shared" si="5"/>
        <v>#N/A</v>
      </c>
      <c r="N180" s="20" t="s">
        <v>300</v>
      </c>
    </row>
    <row r="181" spans="1:14" ht="81.75" customHeight="1" thickBot="1">
      <c r="A181" s="20">
        <v>180</v>
      </c>
      <c r="B181" s="24" t="e">
        <f>VLOOKUP($A181,MINASA!$A$1:$BA$1000,10,FALSE)</f>
        <v>#N/A</v>
      </c>
      <c r="C181" s="20" t="e">
        <f t="shared" si="4"/>
        <v>#N/A</v>
      </c>
      <c r="D181" s="20" t="e">
        <f>VLOOKUP($A181,MINASA!$A$1:$BA$1000,27,FALSE)</f>
        <v>#N/A</v>
      </c>
      <c r="E181" s="20" t="e">
        <f>VLOOKUP($A181,MINASA!$A$1:$BA$1000,26,FALSE)</f>
        <v>#N/A</v>
      </c>
      <c r="F181" s="21" t="e">
        <f>VLOOKUP($A181,MINASA!$A$1:$BA$1000,30,FALSE)</f>
        <v>#N/A</v>
      </c>
      <c r="G181" s="20" t="e">
        <f>VLOOKUP($A181,MINASA!$A$1:$BA$1000,31,FALSE)</f>
        <v>#N/A</v>
      </c>
      <c r="H181" s="20" t="e">
        <f>VLOOKUP($A181,MINASA!$A$1:$BA$1000,47,FALSE)</f>
        <v>#N/A</v>
      </c>
      <c r="I181" s="21" t="e">
        <f>VLOOKUP($A181,MINASA!$A$1:$BA$1000,52,FALSE)</f>
        <v>#N/A</v>
      </c>
      <c r="J181" s="21" t="e">
        <f>VLOOKUP($A181,MINASA!$A$1:$BA$1000,53,FALSE)</f>
        <v>#N/A</v>
      </c>
      <c r="L181" s="20" t="s">
        <v>14</v>
      </c>
      <c r="M181" s="20" t="e">
        <f t="shared" si="5"/>
        <v>#N/A</v>
      </c>
      <c r="N181" s="20" t="s">
        <v>301</v>
      </c>
    </row>
    <row r="182" spans="1:14" ht="81.75" customHeight="1" thickBot="1">
      <c r="A182" s="20">
        <v>181</v>
      </c>
      <c r="B182" s="24" t="e">
        <f>VLOOKUP($A182,MINASA!$A$1:$BA$1000,10,FALSE)</f>
        <v>#N/A</v>
      </c>
      <c r="C182" s="20" t="e">
        <f t="shared" si="4"/>
        <v>#N/A</v>
      </c>
      <c r="D182" s="20" t="e">
        <f>VLOOKUP($A182,MINASA!$A$1:$BA$1000,27,FALSE)</f>
        <v>#N/A</v>
      </c>
      <c r="E182" s="20" t="e">
        <f>VLOOKUP($A182,MINASA!$A$1:$BA$1000,26,FALSE)</f>
        <v>#N/A</v>
      </c>
      <c r="F182" s="21" t="e">
        <f>VLOOKUP($A182,MINASA!$A$1:$BA$1000,30,FALSE)</f>
        <v>#N/A</v>
      </c>
      <c r="G182" s="20" t="e">
        <f>VLOOKUP($A182,MINASA!$A$1:$BA$1000,31,FALSE)</f>
        <v>#N/A</v>
      </c>
      <c r="H182" s="20" t="e">
        <f>VLOOKUP($A182,MINASA!$A$1:$BA$1000,47,FALSE)</f>
        <v>#N/A</v>
      </c>
      <c r="I182" s="21" t="e">
        <f>VLOOKUP($A182,MINASA!$A$1:$BA$1000,52,FALSE)</f>
        <v>#N/A</v>
      </c>
      <c r="J182" s="21" t="e">
        <f>VLOOKUP($A182,MINASA!$A$1:$BA$1000,53,FALSE)</f>
        <v>#N/A</v>
      </c>
      <c r="L182" s="20" t="s">
        <v>14</v>
      </c>
      <c r="M182" s="20" t="e">
        <f t="shared" si="5"/>
        <v>#N/A</v>
      </c>
      <c r="N182" s="20" t="s">
        <v>302</v>
      </c>
    </row>
    <row r="183" spans="1:14" ht="81.75" customHeight="1" thickBot="1">
      <c r="A183" s="20">
        <v>182</v>
      </c>
      <c r="B183" s="24" t="e">
        <f>VLOOKUP($A183,MINASA!$A$1:$BA$1000,10,FALSE)</f>
        <v>#N/A</v>
      </c>
      <c r="C183" s="20" t="e">
        <f t="shared" si="4"/>
        <v>#N/A</v>
      </c>
      <c r="D183" s="20" t="e">
        <f>VLOOKUP($A183,MINASA!$A$1:$BA$1000,27,FALSE)</f>
        <v>#N/A</v>
      </c>
      <c r="E183" s="20" t="e">
        <f>VLOOKUP($A183,MINASA!$A$1:$BA$1000,26,FALSE)</f>
        <v>#N/A</v>
      </c>
      <c r="F183" s="21" t="e">
        <f>VLOOKUP($A183,MINASA!$A$1:$BA$1000,30,FALSE)</f>
        <v>#N/A</v>
      </c>
      <c r="G183" s="20" t="e">
        <f>VLOOKUP($A183,MINASA!$A$1:$BA$1000,31,FALSE)</f>
        <v>#N/A</v>
      </c>
      <c r="H183" s="20" t="e">
        <f>VLOOKUP($A183,MINASA!$A$1:$BA$1000,47,FALSE)</f>
        <v>#N/A</v>
      </c>
      <c r="I183" s="21" t="e">
        <f>VLOOKUP($A183,MINASA!$A$1:$BA$1000,52,FALSE)</f>
        <v>#N/A</v>
      </c>
      <c r="J183" s="21" t="e">
        <f>VLOOKUP($A183,MINASA!$A$1:$BA$1000,53,FALSE)</f>
        <v>#N/A</v>
      </c>
      <c r="L183" s="20" t="s">
        <v>14</v>
      </c>
      <c r="M183" s="20" t="e">
        <f t="shared" si="5"/>
        <v>#N/A</v>
      </c>
      <c r="N183" s="20" t="s">
        <v>303</v>
      </c>
    </row>
    <row r="184" spans="1:14" ht="81.75" customHeight="1" thickBot="1">
      <c r="A184" s="20">
        <v>183</v>
      </c>
      <c r="B184" s="24" t="e">
        <f>VLOOKUP($A184,MINASA!$A$1:$BA$1000,10,FALSE)</f>
        <v>#N/A</v>
      </c>
      <c r="C184" s="20" t="e">
        <f t="shared" si="4"/>
        <v>#N/A</v>
      </c>
      <c r="D184" s="20" t="e">
        <f>VLOOKUP($A184,MINASA!$A$1:$BA$1000,27,FALSE)</f>
        <v>#N/A</v>
      </c>
      <c r="E184" s="20" t="e">
        <f>VLOOKUP($A184,MINASA!$A$1:$BA$1000,26,FALSE)</f>
        <v>#N/A</v>
      </c>
      <c r="F184" s="21" t="e">
        <f>VLOOKUP($A184,MINASA!$A$1:$BA$1000,30,FALSE)</f>
        <v>#N/A</v>
      </c>
      <c r="G184" s="20" t="e">
        <f>VLOOKUP($A184,MINASA!$A$1:$BA$1000,31,FALSE)</f>
        <v>#N/A</v>
      </c>
      <c r="H184" s="20" t="e">
        <f>VLOOKUP($A184,MINASA!$A$1:$BA$1000,47,FALSE)</f>
        <v>#N/A</v>
      </c>
      <c r="I184" s="21" t="e">
        <f>VLOOKUP($A184,MINASA!$A$1:$BA$1000,52,FALSE)</f>
        <v>#N/A</v>
      </c>
      <c r="J184" s="21" t="e">
        <f>VLOOKUP($A184,MINASA!$A$1:$BA$1000,53,FALSE)</f>
        <v>#N/A</v>
      </c>
      <c r="L184" s="20" t="s">
        <v>14</v>
      </c>
      <c r="M184" s="20" t="e">
        <f t="shared" si="5"/>
        <v>#N/A</v>
      </c>
      <c r="N184" s="20" t="s">
        <v>304</v>
      </c>
    </row>
    <row r="185" spans="1:14" ht="81.75" customHeight="1" thickBot="1">
      <c r="A185" s="20">
        <v>184</v>
      </c>
      <c r="B185" s="24" t="e">
        <f>VLOOKUP($A185,MINASA!$A$1:$BA$1000,10,FALSE)</f>
        <v>#N/A</v>
      </c>
      <c r="C185" s="20" t="e">
        <f t="shared" si="4"/>
        <v>#N/A</v>
      </c>
      <c r="D185" s="20" t="e">
        <f>VLOOKUP($A185,MINASA!$A$1:$BA$1000,27,FALSE)</f>
        <v>#N/A</v>
      </c>
      <c r="E185" s="20" t="e">
        <f>VLOOKUP($A185,MINASA!$A$1:$BA$1000,26,FALSE)</f>
        <v>#N/A</v>
      </c>
      <c r="F185" s="21" t="e">
        <f>VLOOKUP($A185,MINASA!$A$1:$BA$1000,30,FALSE)</f>
        <v>#N/A</v>
      </c>
      <c r="G185" s="20" t="e">
        <f>VLOOKUP($A185,MINASA!$A$1:$BA$1000,31,FALSE)</f>
        <v>#N/A</v>
      </c>
      <c r="H185" s="20" t="e">
        <f>VLOOKUP($A185,MINASA!$A$1:$BA$1000,47,FALSE)</f>
        <v>#N/A</v>
      </c>
      <c r="I185" s="21" t="e">
        <f>VLOOKUP($A185,MINASA!$A$1:$BA$1000,52,FALSE)</f>
        <v>#N/A</v>
      </c>
      <c r="J185" s="21" t="e">
        <f>VLOOKUP($A185,MINASA!$A$1:$BA$1000,53,FALSE)</f>
        <v>#N/A</v>
      </c>
      <c r="L185" s="20" t="s">
        <v>14</v>
      </c>
      <c r="M185" s="20" t="e">
        <f t="shared" si="5"/>
        <v>#N/A</v>
      </c>
      <c r="N185" s="20" t="s">
        <v>305</v>
      </c>
    </row>
    <row r="186" spans="1:14" ht="81.75" customHeight="1" thickBot="1">
      <c r="A186" s="20">
        <v>185</v>
      </c>
      <c r="B186" s="24" t="e">
        <f>VLOOKUP($A186,MINASA!$A$1:$BA$1000,10,FALSE)</f>
        <v>#N/A</v>
      </c>
      <c r="C186" s="20" t="e">
        <f t="shared" si="4"/>
        <v>#N/A</v>
      </c>
      <c r="D186" s="20" t="e">
        <f>VLOOKUP($A186,MINASA!$A$1:$BA$1000,27,FALSE)</f>
        <v>#N/A</v>
      </c>
      <c r="E186" s="20" t="e">
        <f>VLOOKUP($A186,MINASA!$A$1:$BA$1000,26,FALSE)</f>
        <v>#N/A</v>
      </c>
      <c r="F186" s="21" t="e">
        <f>VLOOKUP($A186,MINASA!$A$1:$BA$1000,30,FALSE)</f>
        <v>#N/A</v>
      </c>
      <c r="G186" s="20" t="e">
        <f>VLOOKUP($A186,MINASA!$A$1:$BA$1000,31,FALSE)</f>
        <v>#N/A</v>
      </c>
      <c r="H186" s="20" t="e">
        <f>VLOOKUP($A186,MINASA!$A$1:$BA$1000,47,FALSE)</f>
        <v>#N/A</v>
      </c>
      <c r="I186" s="21" t="e">
        <f>VLOOKUP($A186,MINASA!$A$1:$BA$1000,52,FALSE)</f>
        <v>#N/A</v>
      </c>
      <c r="J186" s="21" t="e">
        <f>VLOOKUP($A186,MINASA!$A$1:$BA$1000,53,FALSE)</f>
        <v>#N/A</v>
      </c>
      <c r="L186" s="20" t="s">
        <v>14</v>
      </c>
      <c r="M186" s="20" t="e">
        <f t="shared" si="5"/>
        <v>#N/A</v>
      </c>
      <c r="N186" s="20" t="s">
        <v>306</v>
      </c>
    </row>
    <row r="187" spans="1:14" ht="81.75" customHeight="1" thickBot="1">
      <c r="A187" s="20">
        <v>186</v>
      </c>
      <c r="B187" s="24" t="e">
        <f>VLOOKUP($A187,MINASA!$A$1:$BA$1000,10,FALSE)</f>
        <v>#N/A</v>
      </c>
      <c r="C187" s="20" t="e">
        <f t="shared" si="4"/>
        <v>#N/A</v>
      </c>
      <c r="D187" s="20" t="e">
        <f>VLOOKUP($A187,MINASA!$A$1:$BA$1000,27,FALSE)</f>
        <v>#N/A</v>
      </c>
      <c r="E187" s="20" t="e">
        <f>VLOOKUP($A187,MINASA!$A$1:$BA$1000,26,FALSE)</f>
        <v>#N/A</v>
      </c>
      <c r="F187" s="21" t="e">
        <f>VLOOKUP($A187,MINASA!$A$1:$BA$1000,30,FALSE)</f>
        <v>#N/A</v>
      </c>
      <c r="G187" s="20" t="e">
        <f>VLOOKUP($A187,MINASA!$A$1:$BA$1000,31,FALSE)</f>
        <v>#N/A</v>
      </c>
      <c r="H187" s="20" t="e">
        <f>VLOOKUP($A187,MINASA!$A$1:$BA$1000,47,FALSE)</f>
        <v>#N/A</v>
      </c>
      <c r="I187" s="21" t="e">
        <f>VLOOKUP($A187,MINASA!$A$1:$BA$1000,52,FALSE)</f>
        <v>#N/A</v>
      </c>
      <c r="J187" s="21" t="e">
        <f>VLOOKUP($A187,MINASA!$A$1:$BA$1000,53,FALSE)</f>
        <v>#N/A</v>
      </c>
      <c r="L187" s="20" t="s">
        <v>14</v>
      </c>
      <c r="M187" s="20" t="e">
        <f t="shared" si="5"/>
        <v>#N/A</v>
      </c>
      <c r="N187" s="20" t="s">
        <v>307</v>
      </c>
    </row>
    <row r="188" spans="1:14" ht="81.75" customHeight="1" thickBot="1">
      <c r="A188" s="20">
        <v>187</v>
      </c>
      <c r="B188" s="24" t="e">
        <f>VLOOKUP($A188,MINASA!$A$1:$BA$1000,10,FALSE)</f>
        <v>#N/A</v>
      </c>
      <c r="C188" s="20" t="e">
        <f t="shared" si="4"/>
        <v>#N/A</v>
      </c>
      <c r="D188" s="20" t="e">
        <f>VLOOKUP($A188,MINASA!$A$1:$BA$1000,27,FALSE)</f>
        <v>#N/A</v>
      </c>
      <c r="E188" s="20" t="e">
        <f>VLOOKUP($A188,MINASA!$A$1:$BA$1000,26,FALSE)</f>
        <v>#N/A</v>
      </c>
      <c r="F188" s="21" t="e">
        <f>VLOOKUP($A188,MINASA!$A$1:$BA$1000,30,FALSE)</f>
        <v>#N/A</v>
      </c>
      <c r="G188" s="20" t="e">
        <f>VLOOKUP($A188,MINASA!$A$1:$BA$1000,31,FALSE)</f>
        <v>#N/A</v>
      </c>
      <c r="H188" s="20" t="e">
        <f>VLOOKUP($A188,MINASA!$A$1:$BA$1000,47,FALSE)</f>
        <v>#N/A</v>
      </c>
      <c r="I188" s="21" t="e">
        <f>VLOOKUP($A188,MINASA!$A$1:$BA$1000,52,FALSE)</f>
        <v>#N/A</v>
      </c>
      <c r="J188" s="21" t="e">
        <f>VLOOKUP($A188,MINASA!$A$1:$BA$1000,53,FALSE)</f>
        <v>#N/A</v>
      </c>
      <c r="L188" s="20" t="s">
        <v>14</v>
      </c>
      <c r="M188" s="20" t="e">
        <f t="shared" si="5"/>
        <v>#N/A</v>
      </c>
      <c r="N188" s="20" t="s">
        <v>308</v>
      </c>
    </row>
    <row r="189" spans="1:14" ht="81.75" customHeight="1" thickBot="1">
      <c r="A189" s="20">
        <v>188</v>
      </c>
      <c r="B189" s="24" t="e">
        <f>VLOOKUP($A189,MINASA!$A$1:$BA$1000,10,FALSE)</f>
        <v>#N/A</v>
      </c>
      <c r="C189" s="20" t="e">
        <f t="shared" si="4"/>
        <v>#N/A</v>
      </c>
      <c r="D189" s="20" t="e">
        <f>VLOOKUP($A189,MINASA!$A$1:$BA$1000,27,FALSE)</f>
        <v>#N/A</v>
      </c>
      <c r="E189" s="20" t="e">
        <f>VLOOKUP($A189,MINASA!$A$1:$BA$1000,26,FALSE)</f>
        <v>#N/A</v>
      </c>
      <c r="F189" s="21" t="e">
        <f>VLOOKUP($A189,MINASA!$A$1:$BA$1000,30,FALSE)</f>
        <v>#N/A</v>
      </c>
      <c r="G189" s="20" t="e">
        <f>VLOOKUP($A189,MINASA!$A$1:$BA$1000,31,FALSE)</f>
        <v>#N/A</v>
      </c>
      <c r="H189" s="20" t="e">
        <f>VLOOKUP($A189,MINASA!$A$1:$BA$1000,47,FALSE)</f>
        <v>#N/A</v>
      </c>
      <c r="I189" s="21" t="e">
        <f>VLOOKUP($A189,MINASA!$A$1:$BA$1000,52,FALSE)</f>
        <v>#N/A</v>
      </c>
      <c r="J189" s="21" t="e">
        <f>VLOOKUP($A189,MINASA!$A$1:$BA$1000,53,FALSE)</f>
        <v>#N/A</v>
      </c>
      <c r="L189" s="20" t="s">
        <v>14</v>
      </c>
      <c r="M189" s="20" t="e">
        <f t="shared" si="5"/>
        <v>#N/A</v>
      </c>
      <c r="N189" s="20" t="s">
        <v>309</v>
      </c>
    </row>
    <row r="190" spans="1:14" ht="81.75" customHeight="1" thickBot="1">
      <c r="A190" s="20">
        <v>189</v>
      </c>
      <c r="B190" s="24" t="e">
        <f>VLOOKUP($A190,MINASA!$A$1:$BA$1000,10,FALSE)</f>
        <v>#N/A</v>
      </c>
      <c r="C190" s="20" t="e">
        <f t="shared" si="4"/>
        <v>#N/A</v>
      </c>
      <c r="D190" s="20" t="e">
        <f>VLOOKUP($A190,MINASA!$A$1:$BA$1000,27,FALSE)</f>
        <v>#N/A</v>
      </c>
      <c r="E190" s="20" t="e">
        <f>VLOOKUP($A190,MINASA!$A$1:$BA$1000,26,FALSE)</f>
        <v>#N/A</v>
      </c>
      <c r="F190" s="21" t="e">
        <f>VLOOKUP($A190,MINASA!$A$1:$BA$1000,30,FALSE)</f>
        <v>#N/A</v>
      </c>
      <c r="G190" s="20" t="e">
        <f>VLOOKUP($A190,MINASA!$A$1:$BA$1000,31,FALSE)</f>
        <v>#N/A</v>
      </c>
      <c r="H190" s="20" t="e">
        <f>VLOOKUP($A190,MINASA!$A$1:$BA$1000,47,FALSE)</f>
        <v>#N/A</v>
      </c>
      <c r="I190" s="21" t="e">
        <f>VLOOKUP($A190,MINASA!$A$1:$BA$1000,52,FALSE)</f>
        <v>#N/A</v>
      </c>
      <c r="J190" s="21" t="e">
        <f>VLOOKUP($A190,MINASA!$A$1:$BA$1000,53,FALSE)</f>
        <v>#N/A</v>
      </c>
      <c r="L190" s="20" t="s">
        <v>14</v>
      </c>
      <c r="M190" s="20" t="e">
        <f t="shared" si="5"/>
        <v>#N/A</v>
      </c>
      <c r="N190" s="20" t="s">
        <v>310</v>
      </c>
    </row>
    <row r="191" spans="1:14" ht="81.75" customHeight="1" thickBot="1">
      <c r="A191" s="20">
        <v>190</v>
      </c>
      <c r="B191" s="24" t="e">
        <f>VLOOKUP($A191,MINASA!$A$1:$BA$1000,10,FALSE)</f>
        <v>#N/A</v>
      </c>
      <c r="C191" s="20" t="e">
        <f t="shared" si="4"/>
        <v>#N/A</v>
      </c>
      <c r="D191" s="20" t="e">
        <f>VLOOKUP($A191,MINASA!$A$1:$BA$1000,27,FALSE)</f>
        <v>#N/A</v>
      </c>
      <c r="E191" s="20" t="e">
        <f>VLOOKUP($A191,MINASA!$A$1:$BA$1000,26,FALSE)</f>
        <v>#N/A</v>
      </c>
      <c r="F191" s="21" t="e">
        <f>VLOOKUP($A191,MINASA!$A$1:$BA$1000,30,FALSE)</f>
        <v>#N/A</v>
      </c>
      <c r="G191" s="20" t="e">
        <f>VLOOKUP($A191,MINASA!$A$1:$BA$1000,31,FALSE)</f>
        <v>#N/A</v>
      </c>
      <c r="H191" s="20" t="e">
        <f>VLOOKUP($A191,MINASA!$A$1:$BA$1000,47,FALSE)</f>
        <v>#N/A</v>
      </c>
      <c r="I191" s="21" t="e">
        <f>VLOOKUP($A191,MINASA!$A$1:$BA$1000,52,FALSE)</f>
        <v>#N/A</v>
      </c>
      <c r="J191" s="21" t="e">
        <f>VLOOKUP($A191,MINASA!$A$1:$BA$1000,53,FALSE)</f>
        <v>#N/A</v>
      </c>
      <c r="L191" s="20" t="s">
        <v>14</v>
      </c>
      <c r="M191" s="20" t="e">
        <f t="shared" si="5"/>
        <v>#N/A</v>
      </c>
      <c r="N191" s="20" t="s">
        <v>311</v>
      </c>
    </row>
    <row r="192" spans="1:14" ht="81.75" customHeight="1" thickBot="1">
      <c r="A192" s="20">
        <v>191</v>
      </c>
      <c r="B192" s="24" t="e">
        <f>VLOOKUP($A192,MINASA!$A$1:$BA$1000,10,FALSE)</f>
        <v>#N/A</v>
      </c>
      <c r="C192" s="20" t="e">
        <f t="shared" si="4"/>
        <v>#N/A</v>
      </c>
      <c r="D192" s="20" t="e">
        <f>VLOOKUP($A192,MINASA!$A$1:$BA$1000,27,FALSE)</f>
        <v>#N/A</v>
      </c>
      <c r="E192" s="20" t="e">
        <f>VLOOKUP($A192,MINASA!$A$1:$BA$1000,26,FALSE)</f>
        <v>#N/A</v>
      </c>
      <c r="F192" s="21" t="e">
        <f>VLOOKUP($A192,MINASA!$A$1:$BA$1000,30,FALSE)</f>
        <v>#N/A</v>
      </c>
      <c r="G192" s="20" t="e">
        <f>VLOOKUP($A192,MINASA!$A$1:$BA$1000,31,FALSE)</f>
        <v>#N/A</v>
      </c>
      <c r="H192" s="20" t="e">
        <f>VLOOKUP($A192,MINASA!$A$1:$BA$1000,47,FALSE)</f>
        <v>#N/A</v>
      </c>
      <c r="I192" s="21" t="e">
        <f>VLOOKUP($A192,MINASA!$A$1:$BA$1000,52,FALSE)</f>
        <v>#N/A</v>
      </c>
      <c r="J192" s="21" t="e">
        <f>VLOOKUP($A192,MINASA!$A$1:$BA$1000,53,FALSE)</f>
        <v>#N/A</v>
      </c>
      <c r="L192" s="20" t="s">
        <v>14</v>
      </c>
      <c r="M192" s="20" t="e">
        <f t="shared" si="5"/>
        <v>#N/A</v>
      </c>
      <c r="N192" s="20" t="s">
        <v>312</v>
      </c>
    </row>
    <row r="193" spans="1:14" ht="81.75" customHeight="1" thickBot="1">
      <c r="A193" s="20">
        <v>192</v>
      </c>
      <c r="B193" s="24" t="e">
        <f>VLOOKUP($A193,MINASA!$A$1:$BA$1000,10,FALSE)</f>
        <v>#N/A</v>
      </c>
      <c r="C193" s="20" t="e">
        <f t="shared" si="4"/>
        <v>#N/A</v>
      </c>
      <c r="D193" s="20" t="e">
        <f>VLOOKUP($A193,MINASA!$A$1:$BA$1000,27,FALSE)</f>
        <v>#N/A</v>
      </c>
      <c r="E193" s="20" t="e">
        <f>VLOOKUP($A193,MINASA!$A$1:$BA$1000,26,FALSE)</f>
        <v>#N/A</v>
      </c>
      <c r="F193" s="21" t="e">
        <f>VLOOKUP($A193,MINASA!$A$1:$BA$1000,30,FALSE)</f>
        <v>#N/A</v>
      </c>
      <c r="G193" s="20" t="e">
        <f>VLOOKUP($A193,MINASA!$A$1:$BA$1000,31,FALSE)</f>
        <v>#N/A</v>
      </c>
      <c r="H193" s="20" t="e">
        <f>VLOOKUP($A193,MINASA!$A$1:$BA$1000,47,FALSE)</f>
        <v>#N/A</v>
      </c>
      <c r="I193" s="21" t="e">
        <f>VLOOKUP($A193,MINASA!$A$1:$BA$1000,52,FALSE)</f>
        <v>#N/A</v>
      </c>
      <c r="J193" s="21" t="e">
        <f>VLOOKUP($A193,MINASA!$A$1:$BA$1000,53,FALSE)</f>
        <v>#N/A</v>
      </c>
      <c r="L193" s="20" t="s">
        <v>14</v>
      </c>
      <c r="M193" s="20" t="e">
        <f t="shared" si="5"/>
        <v>#N/A</v>
      </c>
      <c r="N193" s="20" t="s">
        <v>313</v>
      </c>
    </row>
    <row r="194" spans="1:14" ht="81.75" customHeight="1" thickBot="1">
      <c r="A194" s="20">
        <v>193</v>
      </c>
      <c r="B194" s="24" t="e">
        <f>VLOOKUP($A194,MINASA!$A$1:$BA$1000,10,FALSE)</f>
        <v>#N/A</v>
      </c>
      <c r="C194" s="20" t="e">
        <f t="shared" si="4"/>
        <v>#N/A</v>
      </c>
      <c r="D194" s="20" t="e">
        <f>VLOOKUP($A194,MINASA!$A$1:$BA$1000,27,FALSE)</f>
        <v>#N/A</v>
      </c>
      <c r="E194" s="20" t="e">
        <f>VLOOKUP($A194,MINASA!$A$1:$BA$1000,26,FALSE)</f>
        <v>#N/A</v>
      </c>
      <c r="F194" s="21" t="e">
        <f>VLOOKUP($A194,MINASA!$A$1:$BA$1000,30,FALSE)</f>
        <v>#N/A</v>
      </c>
      <c r="G194" s="20" t="e">
        <f>VLOOKUP($A194,MINASA!$A$1:$BA$1000,31,FALSE)</f>
        <v>#N/A</v>
      </c>
      <c r="H194" s="20" t="e">
        <f>VLOOKUP($A194,MINASA!$A$1:$BA$1000,47,FALSE)</f>
        <v>#N/A</v>
      </c>
      <c r="I194" s="21" t="e">
        <f>VLOOKUP($A194,MINASA!$A$1:$BA$1000,52,FALSE)</f>
        <v>#N/A</v>
      </c>
      <c r="J194" s="21" t="e">
        <f>VLOOKUP($A194,MINASA!$A$1:$BA$1000,53,FALSE)</f>
        <v>#N/A</v>
      </c>
      <c r="L194" s="20" t="s">
        <v>14</v>
      </c>
      <c r="M194" s="20" t="e">
        <f t="shared" si="5"/>
        <v>#N/A</v>
      </c>
      <c r="N194" s="20" t="s">
        <v>314</v>
      </c>
    </row>
    <row r="195" spans="1:14" ht="81.75" customHeight="1" thickBot="1">
      <c r="A195" s="20">
        <v>194</v>
      </c>
      <c r="B195" s="24" t="e">
        <f>VLOOKUP($A195,MINASA!$A$1:$BA$1000,10,FALSE)</f>
        <v>#N/A</v>
      </c>
      <c r="C195" s="20" t="e">
        <f t="shared" si="4"/>
        <v>#N/A</v>
      </c>
      <c r="D195" s="20" t="e">
        <f>VLOOKUP($A195,MINASA!$A$1:$BA$1000,27,FALSE)</f>
        <v>#N/A</v>
      </c>
      <c r="E195" s="20" t="e">
        <f>VLOOKUP($A195,MINASA!$A$1:$BA$1000,26,FALSE)</f>
        <v>#N/A</v>
      </c>
      <c r="F195" s="21" t="e">
        <f>VLOOKUP($A195,MINASA!$A$1:$BA$1000,30,FALSE)</f>
        <v>#N/A</v>
      </c>
      <c r="G195" s="20" t="e">
        <f>VLOOKUP($A195,MINASA!$A$1:$BA$1000,31,FALSE)</f>
        <v>#N/A</v>
      </c>
      <c r="H195" s="20" t="e">
        <f>VLOOKUP($A195,MINASA!$A$1:$BA$1000,47,FALSE)</f>
        <v>#N/A</v>
      </c>
      <c r="I195" s="21" t="e">
        <f>VLOOKUP($A195,MINASA!$A$1:$BA$1000,52,FALSE)</f>
        <v>#N/A</v>
      </c>
      <c r="J195" s="21" t="e">
        <f>VLOOKUP($A195,MINASA!$A$1:$BA$1000,53,FALSE)</f>
        <v>#N/A</v>
      </c>
      <c r="L195" s="20" t="s">
        <v>14</v>
      </c>
      <c r="M195" s="20" t="e">
        <f t="shared" si="5"/>
        <v>#N/A</v>
      </c>
      <c r="N195" s="20" t="s">
        <v>315</v>
      </c>
    </row>
    <row r="196" spans="1:14" ht="81.75" customHeight="1" thickBot="1">
      <c r="A196" s="20">
        <v>195</v>
      </c>
      <c r="B196" s="24" t="e">
        <f>VLOOKUP($A196,MINASA!$A$1:$BA$1000,10,FALSE)</f>
        <v>#N/A</v>
      </c>
      <c r="C196" s="20" t="e">
        <f t="shared" si="4"/>
        <v>#N/A</v>
      </c>
      <c r="D196" s="20" t="e">
        <f>VLOOKUP($A196,MINASA!$A$1:$BA$1000,27,FALSE)</f>
        <v>#N/A</v>
      </c>
      <c r="E196" s="20" t="e">
        <f>VLOOKUP($A196,MINASA!$A$1:$BA$1000,26,FALSE)</f>
        <v>#N/A</v>
      </c>
      <c r="F196" s="21" t="e">
        <f>VLOOKUP($A196,MINASA!$A$1:$BA$1000,30,FALSE)</f>
        <v>#N/A</v>
      </c>
      <c r="G196" s="20" t="e">
        <f>VLOOKUP($A196,MINASA!$A$1:$BA$1000,31,FALSE)</f>
        <v>#N/A</v>
      </c>
      <c r="H196" s="20" t="e">
        <f>VLOOKUP($A196,MINASA!$A$1:$BA$1000,47,FALSE)</f>
        <v>#N/A</v>
      </c>
      <c r="I196" s="21" t="e">
        <f>VLOOKUP($A196,MINASA!$A$1:$BA$1000,52,FALSE)</f>
        <v>#N/A</v>
      </c>
      <c r="J196" s="21" t="e">
        <f>VLOOKUP($A196,MINASA!$A$1:$BA$1000,53,FALSE)</f>
        <v>#N/A</v>
      </c>
      <c r="L196" s="20" t="s">
        <v>14</v>
      </c>
      <c r="M196" s="20" t="e">
        <f t="shared" si="5"/>
        <v>#N/A</v>
      </c>
      <c r="N196" s="20" t="s">
        <v>316</v>
      </c>
    </row>
    <row r="197" spans="1:14" ht="81.75" customHeight="1" thickBot="1">
      <c r="A197" s="20">
        <v>196</v>
      </c>
      <c r="B197" s="24" t="e">
        <f>VLOOKUP($A197,MINASA!$A$1:$BA$1000,10,FALSE)</f>
        <v>#N/A</v>
      </c>
      <c r="C197" s="20" t="e">
        <f t="shared" ref="C197:C260" si="6">LEFT(B197,8)</f>
        <v>#N/A</v>
      </c>
      <c r="D197" s="20" t="e">
        <f>VLOOKUP($A197,MINASA!$A$1:$BA$1000,27,FALSE)</f>
        <v>#N/A</v>
      </c>
      <c r="E197" s="20" t="e">
        <f>VLOOKUP($A197,MINASA!$A$1:$BA$1000,26,FALSE)</f>
        <v>#N/A</v>
      </c>
      <c r="F197" s="21" t="e">
        <f>VLOOKUP($A197,MINASA!$A$1:$BA$1000,30,FALSE)</f>
        <v>#N/A</v>
      </c>
      <c r="G197" s="20" t="e">
        <f>VLOOKUP($A197,MINASA!$A$1:$BA$1000,31,FALSE)</f>
        <v>#N/A</v>
      </c>
      <c r="H197" s="20" t="e">
        <f>VLOOKUP($A197,MINASA!$A$1:$BA$1000,47,FALSE)</f>
        <v>#N/A</v>
      </c>
      <c r="I197" s="21" t="e">
        <f>VLOOKUP($A197,MINASA!$A$1:$BA$1000,52,FALSE)</f>
        <v>#N/A</v>
      </c>
      <c r="J197" s="21" t="e">
        <f>VLOOKUP($A197,MINASA!$A$1:$BA$1000,53,FALSE)</f>
        <v>#N/A</v>
      </c>
      <c r="L197" s="20" t="s">
        <v>14</v>
      </c>
      <c r="M197" s="20" t="e">
        <f t="shared" si="5"/>
        <v>#N/A</v>
      </c>
      <c r="N197" s="20" t="s">
        <v>317</v>
      </c>
    </row>
    <row r="198" spans="1:14" ht="81.75" customHeight="1" thickBot="1">
      <c r="A198" s="20">
        <v>197</v>
      </c>
      <c r="B198" s="24" t="e">
        <f>VLOOKUP($A198,MINASA!$A$1:$BA$1000,10,FALSE)</f>
        <v>#N/A</v>
      </c>
      <c r="C198" s="20" t="e">
        <f t="shared" si="6"/>
        <v>#N/A</v>
      </c>
      <c r="D198" s="20" t="e">
        <f>VLOOKUP($A198,MINASA!$A$1:$BA$1000,27,FALSE)</f>
        <v>#N/A</v>
      </c>
      <c r="E198" s="20" t="e">
        <f>VLOOKUP($A198,MINASA!$A$1:$BA$1000,26,FALSE)</f>
        <v>#N/A</v>
      </c>
      <c r="F198" s="21" t="e">
        <f>VLOOKUP($A198,MINASA!$A$1:$BA$1000,30,FALSE)</f>
        <v>#N/A</v>
      </c>
      <c r="G198" s="20" t="e">
        <f>VLOOKUP($A198,MINASA!$A$1:$BA$1000,31,FALSE)</f>
        <v>#N/A</v>
      </c>
      <c r="H198" s="20" t="e">
        <f>VLOOKUP($A198,MINASA!$A$1:$BA$1000,47,FALSE)</f>
        <v>#N/A</v>
      </c>
      <c r="I198" s="21" t="e">
        <f>VLOOKUP($A198,MINASA!$A$1:$BA$1000,52,FALSE)</f>
        <v>#N/A</v>
      </c>
      <c r="J198" s="21" t="e">
        <f>VLOOKUP($A198,MINASA!$A$1:$BA$1000,53,FALSE)</f>
        <v>#N/A</v>
      </c>
      <c r="L198" s="20" t="s">
        <v>14</v>
      </c>
      <c r="M198" s="20" t="e">
        <f t="shared" si="5"/>
        <v>#N/A</v>
      </c>
      <c r="N198" s="20" t="s">
        <v>318</v>
      </c>
    </row>
    <row r="199" spans="1:14" ht="81.75" customHeight="1" thickBot="1">
      <c r="A199" s="20">
        <v>198</v>
      </c>
      <c r="B199" s="24" t="e">
        <f>VLOOKUP($A199,MINASA!$A$1:$BA$1000,10,FALSE)</f>
        <v>#N/A</v>
      </c>
      <c r="C199" s="20" t="e">
        <f t="shared" si="6"/>
        <v>#N/A</v>
      </c>
      <c r="D199" s="20" t="e">
        <f>VLOOKUP($A199,MINASA!$A$1:$BA$1000,27,FALSE)</f>
        <v>#N/A</v>
      </c>
      <c r="E199" s="20" t="e">
        <f>VLOOKUP($A199,MINASA!$A$1:$BA$1000,26,FALSE)</f>
        <v>#N/A</v>
      </c>
      <c r="F199" s="21" t="e">
        <f>VLOOKUP($A199,MINASA!$A$1:$BA$1000,30,FALSE)</f>
        <v>#N/A</v>
      </c>
      <c r="G199" s="20" t="e">
        <f>VLOOKUP($A199,MINASA!$A$1:$BA$1000,31,FALSE)</f>
        <v>#N/A</v>
      </c>
      <c r="H199" s="20" t="e">
        <f>VLOOKUP($A199,MINASA!$A$1:$BA$1000,47,FALSE)</f>
        <v>#N/A</v>
      </c>
      <c r="I199" s="21" t="e">
        <f>VLOOKUP($A199,MINASA!$A$1:$BA$1000,52,FALSE)</f>
        <v>#N/A</v>
      </c>
      <c r="J199" s="21" t="e">
        <f>VLOOKUP($A199,MINASA!$A$1:$BA$1000,53,FALSE)</f>
        <v>#N/A</v>
      </c>
      <c r="L199" s="20" t="s">
        <v>14</v>
      </c>
      <c r="M199" s="20" t="e">
        <f t="shared" si="5"/>
        <v>#N/A</v>
      </c>
      <c r="N199" s="20" t="s">
        <v>319</v>
      </c>
    </row>
    <row r="200" spans="1:14" ht="81.75" customHeight="1" thickBot="1">
      <c r="A200" s="20">
        <v>199</v>
      </c>
      <c r="B200" s="24" t="e">
        <f>VLOOKUP($A200,MINASA!$A$1:$BA$1000,10,FALSE)</f>
        <v>#N/A</v>
      </c>
      <c r="C200" s="20" t="e">
        <f t="shared" si="6"/>
        <v>#N/A</v>
      </c>
      <c r="D200" s="20" t="e">
        <f>VLOOKUP($A200,MINASA!$A$1:$BA$1000,27,FALSE)</f>
        <v>#N/A</v>
      </c>
      <c r="E200" s="20" t="e">
        <f>VLOOKUP($A200,MINASA!$A$1:$BA$1000,26,FALSE)</f>
        <v>#N/A</v>
      </c>
      <c r="F200" s="21" t="e">
        <f>VLOOKUP($A200,MINASA!$A$1:$BA$1000,30,FALSE)</f>
        <v>#N/A</v>
      </c>
      <c r="G200" s="20" t="e">
        <f>VLOOKUP($A200,MINASA!$A$1:$BA$1000,31,FALSE)</f>
        <v>#N/A</v>
      </c>
      <c r="H200" s="20" t="e">
        <f>VLOOKUP($A200,MINASA!$A$1:$BA$1000,47,FALSE)</f>
        <v>#N/A</v>
      </c>
      <c r="I200" s="21" t="e">
        <f>VLOOKUP($A200,MINASA!$A$1:$BA$1000,52,FALSE)</f>
        <v>#N/A</v>
      </c>
      <c r="J200" s="21" t="e">
        <f>VLOOKUP($A200,MINASA!$A$1:$BA$1000,53,FALSE)</f>
        <v>#N/A</v>
      </c>
      <c r="L200" s="20" t="s">
        <v>14</v>
      </c>
      <c r="M200" s="20" t="e">
        <f t="shared" si="5"/>
        <v>#N/A</v>
      </c>
      <c r="N200" s="20" t="s">
        <v>320</v>
      </c>
    </row>
    <row r="201" spans="1:14" ht="81.75" customHeight="1" thickBot="1">
      <c r="A201" s="20">
        <v>200</v>
      </c>
      <c r="B201" s="24" t="e">
        <f>VLOOKUP($A201,MINASA!$A$1:$BA$1000,10,FALSE)</f>
        <v>#N/A</v>
      </c>
      <c r="C201" s="20" t="e">
        <f t="shared" si="6"/>
        <v>#N/A</v>
      </c>
      <c r="D201" s="20" t="e">
        <f>VLOOKUP($A201,MINASA!$A$1:$BA$1000,27,FALSE)</f>
        <v>#N/A</v>
      </c>
      <c r="E201" s="20" t="e">
        <f>VLOOKUP($A201,MINASA!$A$1:$BA$1000,26,FALSE)</f>
        <v>#N/A</v>
      </c>
      <c r="F201" s="21" t="e">
        <f>VLOOKUP($A201,MINASA!$A$1:$BA$1000,30,FALSE)</f>
        <v>#N/A</v>
      </c>
      <c r="G201" s="20" t="e">
        <f>VLOOKUP($A201,MINASA!$A$1:$BA$1000,31,FALSE)</f>
        <v>#N/A</v>
      </c>
      <c r="H201" s="20" t="e">
        <f>VLOOKUP($A201,MINASA!$A$1:$BA$1000,47,FALSE)</f>
        <v>#N/A</v>
      </c>
      <c r="I201" s="21" t="e">
        <f>VLOOKUP($A201,MINASA!$A$1:$BA$1000,52,FALSE)</f>
        <v>#N/A</v>
      </c>
      <c r="J201" s="21" t="e">
        <f>VLOOKUP($A201,MINASA!$A$1:$BA$1000,53,FALSE)</f>
        <v>#N/A</v>
      </c>
      <c r="L201" s="20" t="s">
        <v>14</v>
      </c>
      <c r="M201" s="20" t="e">
        <f t="shared" si="5"/>
        <v>#N/A</v>
      </c>
      <c r="N201" s="20" t="s">
        <v>321</v>
      </c>
    </row>
    <row r="202" spans="1:14" ht="81.75" customHeight="1" thickBot="1">
      <c r="A202" s="20">
        <v>201</v>
      </c>
      <c r="B202" s="24" t="e">
        <f>VLOOKUP($A202,MINASA!$A$1:$BA$1000,10,FALSE)</f>
        <v>#N/A</v>
      </c>
      <c r="C202" s="20" t="e">
        <f t="shared" si="6"/>
        <v>#N/A</v>
      </c>
      <c r="D202" s="20" t="e">
        <f>VLOOKUP($A202,MINASA!$A$1:$BA$1000,27,FALSE)</f>
        <v>#N/A</v>
      </c>
      <c r="E202" s="20" t="e">
        <f>VLOOKUP($A202,MINASA!$A$1:$BA$1000,26,FALSE)</f>
        <v>#N/A</v>
      </c>
      <c r="F202" s="21" t="e">
        <f>VLOOKUP($A202,MINASA!$A$1:$BA$1000,30,FALSE)</f>
        <v>#N/A</v>
      </c>
      <c r="G202" s="20" t="e">
        <f>VLOOKUP($A202,MINASA!$A$1:$BA$1000,31,FALSE)</f>
        <v>#N/A</v>
      </c>
      <c r="H202" s="20" t="e">
        <f>VLOOKUP($A202,MINASA!$A$1:$BA$1000,47,FALSE)</f>
        <v>#N/A</v>
      </c>
      <c r="I202" s="21" t="e">
        <f>VLOOKUP($A202,MINASA!$A$1:$BA$1000,52,FALSE)</f>
        <v>#N/A</v>
      </c>
      <c r="J202" s="21" t="e">
        <f>VLOOKUP($A202,MINASA!$A$1:$BA$1000,53,FALSE)</f>
        <v>#N/A</v>
      </c>
      <c r="L202" s="20" t="s">
        <v>14</v>
      </c>
      <c r="M202" s="20" t="e">
        <f t="shared" si="5"/>
        <v>#N/A</v>
      </c>
      <c r="N202" s="20" t="s">
        <v>322</v>
      </c>
    </row>
    <row r="203" spans="1:14" ht="81.75" customHeight="1" thickBot="1">
      <c r="A203" s="20">
        <v>202</v>
      </c>
      <c r="B203" s="24" t="e">
        <f>VLOOKUP($A203,MINASA!$A$1:$BA$1000,10,FALSE)</f>
        <v>#N/A</v>
      </c>
      <c r="C203" s="20" t="e">
        <f t="shared" si="6"/>
        <v>#N/A</v>
      </c>
      <c r="D203" s="20" t="e">
        <f>VLOOKUP($A203,MINASA!$A$1:$BA$1000,27,FALSE)</f>
        <v>#N/A</v>
      </c>
      <c r="E203" s="20" t="e">
        <f>VLOOKUP($A203,MINASA!$A$1:$BA$1000,26,FALSE)</f>
        <v>#N/A</v>
      </c>
      <c r="F203" s="21" t="e">
        <f>VLOOKUP($A203,MINASA!$A$1:$BA$1000,30,FALSE)</f>
        <v>#N/A</v>
      </c>
      <c r="G203" s="20" t="e">
        <f>VLOOKUP($A203,MINASA!$A$1:$BA$1000,31,FALSE)</f>
        <v>#N/A</v>
      </c>
      <c r="H203" s="20" t="e">
        <f>VLOOKUP($A203,MINASA!$A$1:$BA$1000,47,FALSE)</f>
        <v>#N/A</v>
      </c>
      <c r="I203" s="21" t="e">
        <f>VLOOKUP($A203,MINASA!$A$1:$BA$1000,52,FALSE)</f>
        <v>#N/A</v>
      </c>
      <c r="J203" s="21" t="e">
        <f>VLOOKUP($A203,MINASA!$A$1:$BA$1000,53,FALSE)</f>
        <v>#N/A</v>
      </c>
      <c r="L203" s="20" t="s">
        <v>14</v>
      </c>
      <c r="M203" s="20" t="e">
        <f t="shared" si="5"/>
        <v>#N/A</v>
      </c>
      <c r="N203" s="20" t="s">
        <v>323</v>
      </c>
    </row>
    <row r="204" spans="1:14" ht="81.75" customHeight="1" thickBot="1">
      <c r="A204" s="20">
        <v>203</v>
      </c>
      <c r="B204" s="24" t="e">
        <f>VLOOKUP($A204,MINASA!$A$1:$BA$1000,10,FALSE)</f>
        <v>#N/A</v>
      </c>
      <c r="C204" s="20" t="e">
        <f t="shared" si="6"/>
        <v>#N/A</v>
      </c>
      <c r="D204" s="20" t="e">
        <f>VLOOKUP($A204,MINASA!$A$1:$BA$1000,27,FALSE)</f>
        <v>#N/A</v>
      </c>
      <c r="E204" s="20" t="e">
        <f>VLOOKUP($A204,MINASA!$A$1:$BA$1000,26,FALSE)</f>
        <v>#N/A</v>
      </c>
      <c r="F204" s="21" t="e">
        <f>VLOOKUP($A204,MINASA!$A$1:$BA$1000,30,FALSE)</f>
        <v>#N/A</v>
      </c>
      <c r="G204" s="20" t="e">
        <f>VLOOKUP($A204,MINASA!$A$1:$BA$1000,31,FALSE)</f>
        <v>#N/A</v>
      </c>
      <c r="H204" s="20" t="e">
        <f>VLOOKUP($A204,MINASA!$A$1:$BA$1000,47,FALSE)</f>
        <v>#N/A</v>
      </c>
      <c r="I204" s="21" t="e">
        <f>VLOOKUP($A204,MINASA!$A$1:$BA$1000,52,FALSE)</f>
        <v>#N/A</v>
      </c>
      <c r="J204" s="21" t="e">
        <f>VLOOKUP($A204,MINASA!$A$1:$BA$1000,53,FALSE)</f>
        <v>#N/A</v>
      </c>
      <c r="L204" s="20" t="s">
        <v>14</v>
      </c>
      <c r="M204" s="20" t="e">
        <f t="shared" si="5"/>
        <v>#N/A</v>
      </c>
      <c r="N204" s="20" t="s">
        <v>324</v>
      </c>
    </row>
    <row r="205" spans="1:14" ht="81.75" customHeight="1" thickBot="1">
      <c r="A205" s="20">
        <v>204</v>
      </c>
      <c r="B205" s="24" t="e">
        <f>VLOOKUP($A205,MINASA!$A$1:$BA$1000,10,FALSE)</f>
        <v>#N/A</v>
      </c>
      <c r="C205" s="20" t="e">
        <f t="shared" si="6"/>
        <v>#N/A</v>
      </c>
      <c r="D205" s="20" t="e">
        <f>VLOOKUP($A205,MINASA!$A$1:$BA$1000,27,FALSE)</f>
        <v>#N/A</v>
      </c>
      <c r="E205" s="20" t="e">
        <f>VLOOKUP($A205,MINASA!$A$1:$BA$1000,26,FALSE)</f>
        <v>#N/A</v>
      </c>
      <c r="F205" s="21" t="e">
        <f>VLOOKUP($A205,MINASA!$A$1:$BA$1000,30,FALSE)</f>
        <v>#N/A</v>
      </c>
      <c r="G205" s="20" t="e">
        <f>VLOOKUP($A205,MINASA!$A$1:$BA$1000,31,FALSE)</f>
        <v>#N/A</v>
      </c>
      <c r="H205" s="20" t="e">
        <f>VLOOKUP($A205,MINASA!$A$1:$BA$1000,47,FALSE)</f>
        <v>#N/A</v>
      </c>
      <c r="I205" s="21" t="e">
        <f>VLOOKUP($A205,MINASA!$A$1:$BA$1000,52,FALSE)</f>
        <v>#N/A</v>
      </c>
      <c r="J205" s="21" t="e">
        <f>VLOOKUP($A205,MINASA!$A$1:$BA$1000,53,FALSE)</f>
        <v>#N/A</v>
      </c>
      <c r="L205" s="20" t="s">
        <v>14</v>
      </c>
      <c r="M205" s="20" t="e">
        <f t="shared" si="5"/>
        <v>#N/A</v>
      </c>
      <c r="N205" s="20" t="s">
        <v>325</v>
      </c>
    </row>
    <row r="206" spans="1:14" ht="81.75" customHeight="1" thickBot="1">
      <c r="A206" s="20">
        <v>205</v>
      </c>
      <c r="B206" s="24" t="e">
        <f>VLOOKUP($A206,MINASA!$A$1:$BA$1000,10,FALSE)</f>
        <v>#N/A</v>
      </c>
      <c r="C206" s="20" t="e">
        <f t="shared" si="6"/>
        <v>#N/A</v>
      </c>
      <c r="D206" s="20" t="e">
        <f>VLOOKUP($A206,MINASA!$A$1:$BA$1000,27,FALSE)</f>
        <v>#N/A</v>
      </c>
      <c r="E206" s="20" t="e">
        <f>VLOOKUP($A206,MINASA!$A$1:$BA$1000,26,FALSE)</f>
        <v>#N/A</v>
      </c>
      <c r="F206" s="21" t="e">
        <f>VLOOKUP($A206,MINASA!$A$1:$BA$1000,30,FALSE)</f>
        <v>#N/A</v>
      </c>
      <c r="G206" s="20" t="e">
        <f>VLOOKUP($A206,MINASA!$A$1:$BA$1000,31,FALSE)</f>
        <v>#N/A</v>
      </c>
      <c r="H206" s="20" t="e">
        <f>VLOOKUP($A206,MINASA!$A$1:$BA$1000,47,FALSE)</f>
        <v>#N/A</v>
      </c>
      <c r="I206" s="21" t="e">
        <f>VLOOKUP($A206,MINASA!$A$1:$BA$1000,52,FALSE)</f>
        <v>#N/A</v>
      </c>
      <c r="J206" s="21" t="e">
        <f>VLOOKUP($A206,MINASA!$A$1:$BA$1000,53,FALSE)</f>
        <v>#N/A</v>
      </c>
      <c r="L206" s="20" t="s">
        <v>14</v>
      </c>
      <c r="M206" s="20" t="e">
        <f t="shared" si="5"/>
        <v>#N/A</v>
      </c>
      <c r="N206" s="20" t="s">
        <v>326</v>
      </c>
    </row>
    <row r="207" spans="1:14" ht="81.75" customHeight="1" thickBot="1">
      <c r="A207" s="20">
        <v>206</v>
      </c>
      <c r="B207" s="24" t="e">
        <f>VLOOKUP($A207,MINASA!$A$1:$BA$1000,10,FALSE)</f>
        <v>#N/A</v>
      </c>
      <c r="C207" s="20" t="e">
        <f t="shared" si="6"/>
        <v>#N/A</v>
      </c>
      <c r="D207" s="20" t="e">
        <f>VLOOKUP($A207,MINASA!$A$1:$BA$1000,27,FALSE)</f>
        <v>#N/A</v>
      </c>
      <c r="E207" s="20" t="e">
        <f>VLOOKUP($A207,MINASA!$A$1:$BA$1000,26,FALSE)</f>
        <v>#N/A</v>
      </c>
      <c r="F207" s="21" t="e">
        <f>VLOOKUP($A207,MINASA!$A$1:$BA$1000,30,FALSE)</f>
        <v>#N/A</v>
      </c>
      <c r="G207" s="20" t="e">
        <f>VLOOKUP($A207,MINASA!$A$1:$BA$1000,31,FALSE)</f>
        <v>#N/A</v>
      </c>
      <c r="H207" s="20" t="e">
        <f>VLOOKUP($A207,MINASA!$A$1:$BA$1000,47,FALSE)</f>
        <v>#N/A</v>
      </c>
      <c r="I207" s="21" t="e">
        <f>VLOOKUP($A207,MINASA!$A$1:$BA$1000,52,FALSE)</f>
        <v>#N/A</v>
      </c>
      <c r="J207" s="21" t="e">
        <f>VLOOKUP($A207,MINASA!$A$1:$BA$1000,53,FALSE)</f>
        <v>#N/A</v>
      </c>
      <c r="L207" s="20" t="s">
        <v>14</v>
      </c>
      <c r="M207" s="20" t="e">
        <f t="shared" si="5"/>
        <v>#N/A</v>
      </c>
      <c r="N207" s="20" t="s">
        <v>327</v>
      </c>
    </row>
    <row r="208" spans="1:14" ht="81.75" customHeight="1" thickBot="1">
      <c r="A208" s="20">
        <v>207</v>
      </c>
      <c r="B208" s="24" t="e">
        <f>VLOOKUP($A208,MINASA!$A$1:$BA$1000,10,FALSE)</f>
        <v>#N/A</v>
      </c>
      <c r="C208" s="20" t="e">
        <f t="shared" si="6"/>
        <v>#N/A</v>
      </c>
      <c r="D208" s="20" t="e">
        <f>VLOOKUP($A208,MINASA!$A$1:$BA$1000,27,FALSE)</f>
        <v>#N/A</v>
      </c>
      <c r="E208" s="20" t="e">
        <f>VLOOKUP($A208,MINASA!$A$1:$BA$1000,26,FALSE)</f>
        <v>#N/A</v>
      </c>
      <c r="F208" s="21" t="e">
        <f>VLOOKUP($A208,MINASA!$A$1:$BA$1000,30,FALSE)</f>
        <v>#N/A</v>
      </c>
      <c r="G208" s="20" t="e">
        <f>VLOOKUP($A208,MINASA!$A$1:$BA$1000,31,FALSE)</f>
        <v>#N/A</v>
      </c>
      <c r="H208" s="20" t="e">
        <f>VLOOKUP($A208,MINASA!$A$1:$BA$1000,47,FALSE)</f>
        <v>#N/A</v>
      </c>
      <c r="I208" s="21" t="e">
        <f>VLOOKUP($A208,MINASA!$A$1:$BA$1000,52,FALSE)</f>
        <v>#N/A</v>
      </c>
      <c r="J208" s="21" t="e">
        <f>VLOOKUP($A208,MINASA!$A$1:$BA$1000,53,FALSE)</f>
        <v>#N/A</v>
      </c>
      <c r="L208" s="20" t="s">
        <v>14</v>
      </c>
      <c r="M208" s="20" t="e">
        <f t="shared" si="5"/>
        <v>#N/A</v>
      </c>
      <c r="N208" s="20" t="s">
        <v>328</v>
      </c>
    </row>
    <row r="209" spans="1:14" ht="81.75" customHeight="1" thickBot="1">
      <c r="A209" s="20">
        <v>208</v>
      </c>
      <c r="B209" s="24" t="e">
        <f>VLOOKUP($A209,MINASA!$A$1:$BA$1000,10,FALSE)</f>
        <v>#N/A</v>
      </c>
      <c r="C209" s="20" t="e">
        <f t="shared" si="6"/>
        <v>#N/A</v>
      </c>
      <c r="D209" s="20" t="e">
        <f>VLOOKUP($A209,MINASA!$A$1:$BA$1000,27,FALSE)</f>
        <v>#N/A</v>
      </c>
      <c r="E209" s="20" t="e">
        <f>VLOOKUP($A209,MINASA!$A$1:$BA$1000,26,FALSE)</f>
        <v>#N/A</v>
      </c>
      <c r="F209" s="21" t="e">
        <f>VLOOKUP($A209,MINASA!$A$1:$BA$1000,30,FALSE)</f>
        <v>#N/A</v>
      </c>
      <c r="G209" s="20" t="e">
        <f>VLOOKUP($A209,MINASA!$A$1:$BA$1000,31,FALSE)</f>
        <v>#N/A</v>
      </c>
      <c r="H209" s="20" t="e">
        <f>VLOOKUP($A209,MINASA!$A$1:$BA$1000,47,FALSE)</f>
        <v>#N/A</v>
      </c>
      <c r="I209" s="21" t="e">
        <f>VLOOKUP($A209,MINASA!$A$1:$BA$1000,52,FALSE)</f>
        <v>#N/A</v>
      </c>
      <c r="J209" s="21" t="e">
        <f>VLOOKUP($A209,MINASA!$A$1:$BA$1000,53,FALSE)</f>
        <v>#N/A</v>
      </c>
      <c r="L209" s="20" t="s">
        <v>14</v>
      </c>
      <c r="M209" s="20" t="e">
        <f t="shared" si="5"/>
        <v>#N/A</v>
      </c>
      <c r="N209" s="20" t="s">
        <v>329</v>
      </c>
    </row>
    <row r="210" spans="1:14" ht="81.75" customHeight="1" thickBot="1">
      <c r="A210" s="20">
        <v>209</v>
      </c>
      <c r="B210" s="24" t="e">
        <f>VLOOKUP($A210,MINASA!$A$1:$BA$1000,10,FALSE)</f>
        <v>#N/A</v>
      </c>
      <c r="C210" s="20" t="e">
        <f t="shared" si="6"/>
        <v>#N/A</v>
      </c>
      <c r="D210" s="20" t="e">
        <f>VLOOKUP($A210,MINASA!$A$1:$BA$1000,27,FALSE)</f>
        <v>#N/A</v>
      </c>
      <c r="E210" s="20" t="e">
        <f>VLOOKUP($A210,MINASA!$A$1:$BA$1000,26,FALSE)</f>
        <v>#N/A</v>
      </c>
      <c r="F210" s="21" t="e">
        <f>VLOOKUP($A210,MINASA!$A$1:$BA$1000,30,FALSE)</f>
        <v>#N/A</v>
      </c>
      <c r="G210" s="20" t="e">
        <f>VLOOKUP($A210,MINASA!$A$1:$BA$1000,31,FALSE)</f>
        <v>#N/A</v>
      </c>
      <c r="H210" s="20" t="e">
        <f>VLOOKUP($A210,MINASA!$A$1:$BA$1000,47,FALSE)</f>
        <v>#N/A</v>
      </c>
      <c r="I210" s="21" t="e">
        <f>VLOOKUP($A210,MINASA!$A$1:$BA$1000,52,FALSE)</f>
        <v>#N/A</v>
      </c>
      <c r="J210" s="21" t="e">
        <f>VLOOKUP($A210,MINASA!$A$1:$BA$1000,53,FALSE)</f>
        <v>#N/A</v>
      </c>
      <c r="L210" s="20" t="s">
        <v>14</v>
      </c>
      <c r="M210" s="20" t="e">
        <f t="shared" si="5"/>
        <v>#N/A</v>
      </c>
      <c r="N210" s="20" t="s">
        <v>330</v>
      </c>
    </row>
    <row r="211" spans="1:14" ht="81.75" customHeight="1" thickBot="1">
      <c r="A211" s="20">
        <v>210</v>
      </c>
      <c r="B211" s="24" t="e">
        <f>VLOOKUP($A211,MINASA!$A$1:$BA$1000,10,FALSE)</f>
        <v>#N/A</v>
      </c>
      <c r="C211" s="20" t="e">
        <f t="shared" si="6"/>
        <v>#N/A</v>
      </c>
      <c r="D211" s="20" t="e">
        <f>VLOOKUP($A211,MINASA!$A$1:$BA$1000,27,FALSE)</f>
        <v>#N/A</v>
      </c>
      <c r="E211" s="20" t="e">
        <f>VLOOKUP($A211,MINASA!$A$1:$BA$1000,26,FALSE)</f>
        <v>#N/A</v>
      </c>
      <c r="F211" s="21" t="e">
        <f>VLOOKUP($A211,MINASA!$A$1:$BA$1000,30,FALSE)</f>
        <v>#N/A</v>
      </c>
      <c r="G211" s="20" t="e">
        <f>VLOOKUP($A211,MINASA!$A$1:$BA$1000,31,FALSE)</f>
        <v>#N/A</v>
      </c>
      <c r="H211" s="20" t="e">
        <f>VLOOKUP($A211,MINASA!$A$1:$BA$1000,47,FALSE)</f>
        <v>#N/A</v>
      </c>
      <c r="I211" s="21" t="e">
        <f>VLOOKUP($A211,MINASA!$A$1:$BA$1000,52,FALSE)</f>
        <v>#N/A</v>
      </c>
      <c r="J211" s="21" t="e">
        <f>VLOOKUP($A211,MINASA!$A$1:$BA$1000,53,FALSE)</f>
        <v>#N/A</v>
      </c>
      <c r="L211" s="20" t="s">
        <v>14</v>
      </c>
      <c r="M211" s="20" t="e">
        <f t="shared" si="5"/>
        <v>#N/A</v>
      </c>
      <c r="N211" s="20" t="s">
        <v>331</v>
      </c>
    </row>
    <row r="212" spans="1:14" ht="81.75" customHeight="1" thickBot="1">
      <c r="A212" s="20">
        <v>211</v>
      </c>
      <c r="B212" s="24" t="e">
        <f>VLOOKUP($A212,MINASA!$A$1:$BA$1000,10,FALSE)</f>
        <v>#N/A</v>
      </c>
      <c r="C212" s="20" t="e">
        <f t="shared" si="6"/>
        <v>#N/A</v>
      </c>
      <c r="D212" s="20" t="e">
        <f>VLOOKUP($A212,MINASA!$A$1:$BA$1000,27,FALSE)</f>
        <v>#N/A</v>
      </c>
      <c r="E212" s="20" t="e">
        <f>VLOOKUP($A212,MINASA!$A$1:$BA$1000,26,FALSE)</f>
        <v>#N/A</v>
      </c>
      <c r="F212" s="21" t="e">
        <f>VLOOKUP($A212,MINASA!$A$1:$BA$1000,30,FALSE)</f>
        <v>#N/A</v>
      </c>
      <c r="G212" s="20" t="e">
        <f>VLOOKUP($A212,MINASA!$A$1:$BA$1000,31,FALSE)</f>
        <v>#N/A</v>
      </c>
      <c r="H212" s="20" t="e">
        <f>VLOOKUP($A212,MINASA!$A$1:$BA$1000,47,FALSE)</f>
        <v>#N/A</v>
      </c>
      <c r="I212" s="21" t="e">
        <f>VLOOKUP($A212,MINASA!$A$1:$BA$1000,52,FALSE)</f>
        <v>#N/A</v>
      </c>
      <c r="J212" s="21" t="e">
        <f>VLOOKUP($A212,MINASA!$A$1:$BA$1000,53,FALSE)</f>
        <v>#N/A</v>
      </c>
      <c r="L212" s="20" t="s">
        <v>14</v>
      </c>
      <c r="M212" s="20" t="e">
        <f t="shared" si="5"/>
        <v>#N/A</v>
      </c>
      <c r="N212" s="20" t="s">
        <v>332</v>
      </c>
    </row>
    <row r="213" spans="1:14" ht="81.75" customHeight="1" thickBot="1">
      <c r="A213" s="20">
        <v>212</v>
      </c>
      <c r="B213" s="24" t="e">
        <f>VLOOKUP($A213,MINASA!$A$1:$BA$1000,10,FALSE)</f>
        <v>#N/A</v>
      </c>
      <c r="C213" s="20" t="e">
        <f t="shared" si="6"/>
        <v>#N/A</v>
      </c>
      <c r="D213" s="20" t="e">
        <f>VLOOKUP($A213,MINASA!$A$1:$BA$1000,27,FALSE)</f>
        <v>#N/A</v>
      </c>
      <c r="E213" s="20" t="e">
        <f>VLOOKUP($A213,MINASA!$A$1:$BA$1000,26,FALSE)</f>
        <v>#N/A</v>
      </c>
      <c r="F213" s="21" t="e">
        <f>VLOOKUP($A213,MINASA!$A$1:$BA$1000,30,FALSE)</f>
        <v>#N/A</v>
      </c>
      <c r="G213" s="20" t="e">
        <f>VLOOKUP($A213,MINASA!$A$1:$BA$1000,31,FALSE)</f>
        <v>#N/A</v>
      </c>
      <c r="H213" s="20" t="e">
        <f>VLOOKUP($A213,MINASA!$A$1:$BA$1000,47,FALSE)</f>
        <v>#N/A</v>
      </c>
      <c r="I213" s="21" t="e">
        <f>VLOOKUP($A213,MINASA!$A$1:$BA$1000,52,FALSE)</f>
        <v>#N/A</v>
      </c>
      <c r="J213" s="21" t="e">
        <f>VLOOKUP($A213,MINASA!$A$1:$BA$1000,53,FALSE)</f>
        <v>#N/A</v>
      </c>
      <c r="L213" s="20" t="s">
        <v>14</v>
      </c>
      <c r="M213" s="20" t="e">
        <f t="shared" si="5"/>
        <v>#N/A</v>
      </c>
      <c r="N213" s="20" t="s">
        <v>333</v>
      </c>
    </row>
    <row r="214" spans="1:14" ht="81.75" customHeight="1" thickBot="1">
      <c r="A214" s="20">
        <v>213</v>
      </c>
      <c r="B214" s="24" t="e">
        <f>VLOOKUP($A214,MINASA!$A$1:$BA$1000,10,FALSE)</f>
        <v>#N/A</v>
      </c>
      <c r="C214" s="20" t="e">
        <f t="shared" si="6"/>
        <v>#N/A</v>
      </c>
      <c r="D214" s="20" t="e">
        <f>VLOOKUP($A214,MINASA!$A$1:$BA$1000,27,FALSE)</f>
        <v>#N/A</v>
      </c>
      <c r="E214" s="20" t="e">
        <f>VLOOKUP($A214,MINASA!$A$1:$BA$1000,26,FALSE)</f>
        <v>#N/A</v>
      </c>
      <c r="F214" s="21" t="e">
        <f>VLOOKUP($A214,MINASA!$A$1:$BA$1000,30,FALSE)</f>
        <v>#N/A</v>
      </c>
      <c r="G214" s="20" t="e">
        <f>VLOOKUP($A214,MINASA!$A$1:$BA$1000,31,FALSE)</f>
        <v>#N/A</v>
      </c>
      <c r="H214" s="20" t="e">
        <f>VLOOKUP($A214,MINASA!$A$1:$BA$1000,47,FALSE)</f>
        <v>#N/A</v>
      </c>
      <c r="I214" s="21" t="e">
        <f>VLOOKUP($A214,MINASA!$A$1:$BA$1000,52,FALSE)</f>
        <v>#N/A</v>
      </c>
      <c r="J214" s="21" t="e">
        <f>VLOOKUP($A214,MINASA!$A$1:$BA$1000,53,FALSE)</f>
        <v>#N/A</v>
      </c>
      <c r="L214" s="20" t="s">
        <v>14</v>
      </c>
      <c r="M214" s="20" t="e">
        <f t="shared" si="5"/>
        <v>#N/A</v>
      </c>
      <c r="N214" s="20" t="s">
        <v>334</v>
      </c>
    </row>
    <row r="215" spans="1:14" ht="81.75" customHeight="1" thickBot="1">
      <c r="A215" s="20">
        <v>214</v>
      </c>
      <c r="B215" s="24" t="e">
        <f>VLOOKUP($A215,MINASA!$A$1:$BA$1000,10,FALSE)</f>
        <v>#N/A</v>
      </c>
      <c r="C215" s="20" t="e">
        <f t="shared" si="6"/>
        <v>#N/A</v>
      </c>
      <c r="D215" s="20" t="e">
        <f>VLOOKUP($A215,MINASA!$A$1:$BA$1000,27,FALSE)</f>
        <v>#N/A</v>
      </c>
      <c r="E215" s="20" t="e">
        <f>VLOOKUP($A215,MINASA!$A$1:$BA$1000,26,FALSE)</f>
        <v>#N/A</v>
      </c>
      <c r="F215" s="21" t="e">
        <f>VLOOKUP($A215,MINASA!$A$1:$BA$1000,30,FALSE)</f>
        <v>#N/A</v>
      </c>
      <c r="G215" s="20" t="e">
        <f>VLOOKUP($A215,MINASA!$A$1:$BA$1000,31,FALSE)</f>
        <v>#N/A</v>
      </c>
      <c r="H215" s="20" t="e">
        <f>VLOOKUP($A215,MINASA!$A$1:$BA$1000,47,FALSE)</f>
        <v>#N/A</v>
      </c>
      <c r="I215" s="21" t="e">
        <f>VLOOKUP($A215,MINASA!$A$1:$BA$1000,52,FALSE)</f>
        <v>#N/A</v>
      </c>
      <c r="J215" s="21" t="e">
        <f>VLOOKUP($A215,MINASA!$A$1:$BA$1000,53,FALSE)</f>
        <v>#N/A</v>
      </c>
      <c r="L215" s="20" t="s">
        <v>14</v>
      </c>
      <c r="M215" s="20" t="e">
        <f t="shared" si="5"/>
        <v>#N/A</v>
      </c>
      <c r="N215" s="20" t="s">
        <v>335</v>
      </c>
    </row>
    <row r="216" spans="1:14" ht="81.75" customHeight="1" thickBot="1">
      <c r="A216" s="20">
        <v>215</v>
      </c>
      <c r="B216" s="24" t="e">
        <f>VLOOKUP($A216,MINASA!$A$1:$BA$1000,10,FALSE)</f>
        <v>#N/A</v>
      </c>
      <c r="C216" s="20" t="e">
        <f t="shared" si="6"/>
        <v>#N/A</v>
      </c>
      <c r="D216" s="20" t="e">
        <f>VLOOKUP($A216,MINASA!$A$1:$BA$1000,27,FALSE)</f>
        <v>#N/A</v>
      </c>
      <c r="E216" s="20" t="e">
        <f>VLOOKUP($A216,MINASA!$A$1:$BA$1000,26,FALSE)</f>
        <v>#N/A</v>
      </c>
      <c r="F216" s="21" t="e">
        <f>VLOOKUP($A216,MINASA!$A$1:$BA$1000,30,FALSE)</f>
        <v>#N/A</v>
      </c>
      <c r="G216" s="20" t="e">
        <f>VLOOKUP($A216,MINASA!$A$1:$BA$1000,31,FALSE)</f>
        <v>#N/A</v>
      </c>
      <c r="H216" s="20" t="e">
        <f>VLOOKUP($A216,MINASA!$A$1:$BA$1000,47,FALSE)</f>
        <v>#N/A</v>
      </c>
      <c r="I216" s="21" t="e">
        <f>VLOOKUP($A216,MINASA!$A$1:$BA$1000,52,FALSE)</f>
        <v>#N/A</v>
      </c>
      <c r="J216" s="21" t="e">
        <f>VLOOKUP($A216,MINASA!$A$1:$BA$1000,53,FALSE)</f>
        <v>#N/A</v>
      </c>
      <c r="L216" s="20" t="s">
        <v>14</v>
      </c>
      <c r="M216" s="20" t="e">
        <f t="shared" si="5"/>
        <v>#N/A</v>
      </c>
      <c r="N216" s="20" t="s">
        <v>336</v>
      </c>
    </row>
    <row r="217" spans="1:14" ht="81.75" customHeight="1" thickBot="1">
      <c r="A217" s="20">
        <v>216</v>
      </c>
      <c r="B217" s="24" t="e">
        <f>VLOOKUP($A217,MINASA!$A$1:$BA$1000,10,FALSE)</f>
        <v>#N/A</v>
      </c>
      <c r="C217" s="20" t="e">
        <f t="shared" si="6"/>
        <v>#N/A</v>
      </c>
      <c r="D217" s="20" t="e">
        <f>VLOOKUP($A217,MINASA!$A$1:$BA$1000,27,FALSE)</f>
        <v>#N/A</v>
      </c>
      <c r="E217" s="20" t="e">
        <f>VLOOKUP($A217,MINASA!$A$1:$BA$1000,26,FALSE)</f>
        <v>#N/A</v>
      </c>
      <c r="F217" s="21" t="e">
        <f>VLOOKUP($A217,MINASA!$A$1:$BA$1000,30,FALSE)</f>
        <v>#N/A</v>
      </c>
      <c r="G217" s="20" t="e">
        <f>VLOOKUP($A217,MINASA!$A$1:$BA$1000,31,FALSE)</f>
        <v>#N/A</v>
      </c>
      <c r="H217" s="20" t="e">
        <f>VLOOKUP($A217,MINASA!$A$1:$BA$1000,47,FALSE)</f>
        <v>#N/A</v>
      </c>
      <c r="I217" s="21" t="e">
        <f>VLOOKUP($A217,MINASA!$A$1:$BA$1000,52,FALSE)</f>
        <v>#N/A</v>
      </c>
      <c r="J217" s="21" t="e">
        <f>VLOOKUP($A217,MINASA!$A$1:$BA$1000,53,FALSE)</f>
        <v>#N/A</v>
      </c>
      <c r="L217" s="20" t="s">
        <v>14</v>
      </c>
      <c r="M217" s="20" t="e">
        <f t="shared" si="5"/>
        <v>#N/A</v>
      </c>
      <c r="N217" s="20" t="s">
        <v>337</v>
      </c>
    </row>
    <row r="218" spans="1:14" ht="81.75" customHeight="1" thickBot="1">
      <c r="A218" s="20">
        <v>217</v>
      </c>
      <c r="B218" s="24" t="e">
        <f>VLOOKUP($A218,MINASA!$A$1:$BA$1000,10,FALSE)</f>
        <v>#N/A</v>
      </c>
      <c r="C218" s="20" t="e">
        <f t="shared" si="6"/>
        <v>#N/A</v>
      </c>
      <c r="D218" s="20" t="e">
        <f>VLOOKUP($A218,MINASA!$A$1:$BA$1000,27,FALSE)</f>
        <v>#N/A</v>
      </c>
      <c r="E218" s="20" t="e">
        <f>VLOOKUP($A218,MINASA!$A$1:$BA$1000,26,FALSE)</f>
        <v>#N/A</v>
      </c>
      <c r="F218" s="21" t="e">
        <f>VLOOKUP($A218,MINASA!$A$1:$BA$1000,30,FALSE)</f>
        <v>#N/A</v>
      </c>
      <c r="G218" s="20" t="e">
        <f>VLOOKUP($A218,MINASA!$A$1:$BA$1000,31,FALSE)</f>
        <v>#N/A</v>
      </c>
      <c r="H218" s="20" t="e">
        <f>VLOOKUP($A218,MINASA!$A$1:$BA$1000,47,FALSE)</f>
        <v>#N/A</v>
      </c>
      <c r="I218" s="21" t="e">
        <f>VLOOKUP($A218,MINASA!$A$1:$BA$1000,52,FALSE)</f>
        <v>#N/A</v>
      </c>
      <c r="J218" s="21" t="e">
        <f>VLOOKUP($A218,MINASA!$A$1:$BA$1000,53,FALSE)</f>
        <v>#N/A</v>
      </c>
      <c r="L218" s="20" t="s">
        <v>14</v>
      </c>
      <c r="M218" s="20" t="e">
        <f t="shared" si="5"/>
        <v>#N/A</v>
      </c>
      <c r="N218" s="20" t="s">
        <v>338</v>
      </c>
    </row>
    <row r="219" spans="1:14" ht="81.75" customHeight="1" thickBot="1">
      <c r="A219" s="20">
        <v>218</v>
      </c>
      <c r="B219" s="24" t="e">
        <f>VLOOKUP($A219,MINASA!$A$1:$BA$1000,10,FALSE)</f>
        <v>#N/A</v>
      </c>
      <c r="C219" s="20" t="e">
        <f t="shared" si="6"/>
        <v>#N/A</v>
      </c>
      <c r="D219" s="20" t="e">
        <f>VLOOKUP($A219,MINASA!$A$1:$BA$1000,27,FALSE)</f>
        <v>#N/A</v>
      </c>
      <c r="E219" s="20" t="e">
        <f>VLOOKUP($A219,MINASA!$A$1:$BA$1000,26,FALSE)</f>
        <v>#N/A</v>
      </c>
      <c r="F219" s="21" t="e">
        <f>VLOOKUP($A219,MINASA!$A$1:$BA$1000,30,FALSE)</f>
        <v>#N/A</v>
      </c>
      <c r="G219" s="20" t="e">
        <f>VLOOKUP($A219,MINASA!$A$1:$BA$1000,31,FALSE)</f>
        <v>#N/A</v>
      </c>
      <c r="H219" s="20" t="e">
        <f>VLOOKUP($A219,MINASA!$A$1:$BA$1000,47,FALSE)</f>
        <v>#N/A</v>
      </c>
      <c r="I219" s="21" t="e">
        <f>VLOOKUP($A219,MINASA!$A$1:$BA$1000,52,FALSE)</f>
        <v>#N/A</v>
      </c>
      <c r="J219" s="21" t="e">
        <f>VLOOKUP($A219,MINASA!$A$1:$BA$1000,53,FALSE)</f>
        <v>#N/A</v>
      </c>
      <c r="L219" s="20" t="s">
        <v>14</v>
      </c>
      <c r="M219" s="20" t="e">
        <f t="shared" si="5"/>
        <v>#N/A</v>
      </c>
      <c r="N219" s="20" t="s">
        <v>339</v>
      </c>
    </row>
    <row r="220" spans="1:14" ht="81.75" customHeight="1" thickBot="1">
      <c r="A220" s="20">
        <v>219</v>
      </c>
      <c r="B220" s="24" t="e">
        <f>VLOOKUP($A220,MINASA!$A$1:$BA$1000,10,FALSE)</f>
        <v>#N/A</v>
      </c>
      <c r="C220" s="20" t="e">
        <f t="shared" si="6"/>
        <v>#N/A</v>
      </c>
      <c r="D220" s="20" t="e">
        <f>VLOOKUP($A220,MINASA!$A$1:$BA$1000,27,FALSE)</f>
        <v>#N/A</v>
      </c>
      <c r="E220" s="20" t="e">
        <f>VLOOKUP($A220,MINASA!$A$1:$BA$1000,26,FALSE)</f>
        <v>#N/A</v>
      </c>
      <c r="F220" s="21" t="e">
        <f>VLOOKUP($A220,MINASA!$A$1:$BA$1000,30,FALSE)</f>
        <v>#N/A</v>
      </c>
      <c r="G220" s="20" t="e">
        <f>VLOOKUP($A220,MINASA!$A$1:$BA$1000,31,FALSE)</f>
        <v>#N/A</v>
      </c>
      <c r="H220" s="20" t="e">
        <f>VLOOKUP($A220,MINASA!$A$1:$BA$1000,47,FALSE)</f>
        <v>#N/A</v>
      </c>
      <c r="I220" s="21" t="e">
        <f>VLOOKUP($A220,MINASA!$A$1:$BA$1000,52,FALSE)</f>
        <v>#N/A</v>
      </c>
      <c r="J220" s="21" t="e">
        <f>VLOOKUP($A220,MINASA!$A$1:$BA$1000,53,FALSE)</f>
        <v>#N/A</v>
      </c>
      <c r="L220" s="20" t="s">
        <v>14</v>
      </c>
      <c r="M220" s="20" t="e">
        <f t="shared" si="5"/>
        <v>#N/A</v>
      </c>
      <c r="N220" s="20" t="s">
        <v>340</v>
      </c>
    </row>
    <row r="221" spans="1:14" ht="81.75" customHeight="1" thickBot="1">
      <c r="A221" s="20">
        <v>220</v>
      </c>
      <c r="B221" s="24" t="e">
        <f>VLOOKUP($A221,MINASA!$A$1:$BA$1000,10,FALSE)</f>
        <v>#N/A</v>
      </c>
      <c r="C221" s="20" t="e">
        <f t="shared" si="6"/>
        <v>#N/A</v>
      </c>
      <c r="D221" s="20" t="e">
        <f>VLOOKUP($A221,MINASA!$A$1:$BA$1000,27,FALSE)</f>
        <v>#N/A</v>
      </c>
      <c r="E221" s="20" t="e">
        <f>VLOOKUP($A221,MINASA!$A$1:$BA$1000,26,FALSE)</f>
        <v>#N/A</v>
      </c>
      <c r="F221" s="21" t="e">
        <f>VLOOKUP($A221,MINASA!$A$1:$BA$1000,30,FALSE)</f>
        <v>#N/A</v>
      </c>
      <c r="G221" s="20" t="e">
        <f>VLOOKUP($A221,MINASA!$A$1:$BA$1000,31,FALSE)</f>
        <v>#N/A</v>
      </c>
      <c r="H221" s="20" t="e">
        <f>VLOOKUP($A221,MINASA!$A$1:$BA$1000,47,FALSE)</f>
        <v>#N/A</v>
      </c>
      <c r="I221" s="21" t="e">
        <f>VLOOKUP($A221,MINASA!$A$1:$BA$1000,52,FALSE)</f>
        <v>#N/A</v>
      </c>
      <c r="J221" s="21" t="e">
        <f>VLOOKUP($A221,MINASA!$A$1:$BA$1000,53,FALSE)</f>
        <v>#N/A</v>
      </c>
      <c r="L221" s="20" t="s">
        <v>14</v>
      </c>
      <c r="M221" s="20" t="e">
        <f t="shared" si="5"/>
        <v>#N/A</v>
      </c>
      <c r="N221" s="20" t="s">
        <v>341</v>
      </c>
    </row>
    <row r="222" spans="1:14" ht="81.75" customHeight="1" thickBot="1">
      <c r="A222" s="20">
        <v>221</v>
      </c>
      <c r="B222" s="24" t="e">
        <f>VLOOKUP($A222,MINASA!$A$1:$BA$1000,10,FALSE)</f>
        <v>#N/A</v>
      </c>
      <c r="C222" s="20" t="e">
        <f t="shared" si="6"/>
        <v>#N/A</v>
      </c>
      <c r="D222" s="20" t="e">
        <f>VLOOKUP($A222,MINASA!$A$1:$BA$1000,27,FALSE)</f>
        <v>#N/A</v>
      </c>
      <c r="E222" s="20" t="e">
        <f>VLOOKUP($A222,MINASA!$A$1:$BA$1000,26,FALSE)</f>
        <v>#N/A</v>
      </c>
      <c r="F222" s="21" t="e">
        <f>VLOOKUP($A222,MINASA!$A$1:$BA$1000,30,FALSE)</f>
        <v>#N/A</v>
      </c>
      <c r="G222" s="20" t="e">
        <f>VLOOKUP($A222,MINASA!$A$1:$BA$1000,31,FALSE)</f>
        <v>#N/A</v>
      </c>
      <c r="H222" s="20" t="e">
        <f>VLOOKUP($A222,MINASA!$A$1:$BA$1000,47,FALSE)</f>
        <v>#N/A</v>
      </c>
      <c r="I222" s="21" t="e">
        <f>VLOOKUP($A222,MINASA!$A$1:$BA$1000,52,FALSE)</f>
        <v>#N/A</v>
      </c>
      <c r="J222" s="21" t="e">
        <f>VLOOKUP($A222,MINASA!$A$1:$BA$1000,53,FALSE)</f>
        <v>#N/A</v>
      </c>
      <c r="L222" s="20" t="s">
        <v>14</v>
      </c>
      <c r="M222" s="20" t="e">
        <f t="shared" si="5"/>
        <v>#N/A</v>
      </c>
      <c r="N222" s="20" t="s">
        <v>342</v>
      </c>
    </row>
    <row r="223" spans="1:14" ht="81.75" customHeight="1" thickBot="1">
      <c r="A223" s="20">
        <v>222</v>
      </c>
      <c r="B223" s="24" t="e">
        <f>VLOOKUP($A223,MINASA!$A$1:$BA$1000,10,FALSE)</f>
        <v>#N/A</v>
      </c>
      <c r="C223" s="20" t="e">
        <f t="shared" si="6"/>
        <v>#N/A</v>
      </c>
      <c r="D223" s="20" t="e">
        <f>VLOOKUP($A223,MINASA!$A$1:$BA$1000,27,FALSE)</f>
        <v>#N/A</v>
      </c>
      <c r="E223" s="20" t="e">
        <f>VLOOKUP($A223,MINASA!$A$1:$BA$1000,26,FALSE)</f>
        <v>#N/A</v>
      </c>
      <c r="F223" s="21" t="e">
        <f>VLOOKUP($A223,MINASA!$A$1:$BA$1000,30,FALSE)</f>
        <v>#N/A</v>
      </c>
      <c r="G223" s="20" t="e">
        <f>VLOOKUP($A223,MINASA!$A$1:$BA$1000,31,FALSE)</f>
        <v>#N/A</v>
      </c>
      <c r="H223" s="20" t="e">
        <f>VLOOKUP($A223,MINASA!$A$1:$BA$1000,47,FALSE)</f>
        <v>#N/A</v>
      </c>
      <c r="I223" s="21" t="e">
        <f>VLOOKUP($A223,MINASA!$A$1:$BA$1000,52,FALSE)</f>
        <v>#N/A</v>
      </c>
      <c r="J223" s="21" t="e">
        <f>VLOOKUP($A223,MINASA!$A$1:$BA$1000,53,FALSE)</f>
        <v>#N/A</v>
      </c>
      <c r="L223" s="20" t="s">
        <v>14</v>
      </c>
      <c r="M223" s="20" t="e">
        <f t="shared" si="5"/>
        <v>#N/A</v>
      </c>
      <c r="N223" s="20" t="s">
        <v>343</v>
      </c>
    </row>
    <row r="224" spans="1:14" ht="81.75" customHeight="1" thickBot="1">
      <c r="A224" s="20">
        <v>223</v>
      </c>
      <c r="B224" s="24" t="e">
        <f>VLOOKUP($A224,MINASA!$A$1:$BA$1000,10,FALSE)</f>
        <v>#N/A</v>
      </c>
      <c r="C224" s="20" t="e">
        <f t="shared" si="6"/>
        <v>#N/A</v>
      </c>
      <c r="D224" s="20" t="e">
        <f>VLOOKUP($A224,MINASA!$A$1:$BA$1000,27,FALSE)</f>
        <v>#N/A</v>
      </c>
      <c r="E224" s="20" t="e">
        <f>VLOOKUP($A224,MINASA!$A$1:$BA$1000,26,FALSE)</f>
        <v>#N/A</v>
      </c>
      <c r="F224" s="21" t="e">
        <f>VLOOKUP($A224,MINASA!$A$1:$BA$1000,30,FALSE)</f>
        <v>#N/A</v>
      </c>
      <c r="G224" s="20" t="e">
        <f>VLOOKUP($A224,MINASA!$A$1:$BA$1000,31,FALSE)</f>
        <v>#N/A</v>
      </c>
      <c r="H224" s="20" t="e">
        <f>VLOOKUP($A224,MINASA!$A$1:$BA$1000,47,FALSE)</f>
        <v>#N/A</v>
      </c>
      <c r="I224" s="21" t="e">
        <f>VLOOKUP($A224,MINASA!$A$1:$BA$1000,52,FALSE)</f>
        <v>#N/A</v>
      </c>
      <c r="J224" s="21" t="e">
        <f>VLOOKUP($A224,MINASA!$A$1:$BA$1000,53,FALSE)</f>
        <v>#N/A</v>
      </c>
      <c r="L224" s="20" t="s">
        <v>14</v>
      </c>
      <c r="M224" s="20" t="e">
        <f t="shared" si="5"/>
        <v>#N/A</v>
      </c>
      <c r="N224" s="20" t="s">
        <v>344</v>
      </c>
    </row>
    <row r="225" spans="1:14" ht="81.75" customHeight="1" thickBot="1">
      <c r="A225" s="20">
        <v>224</v>
      </c>
      <c r="B225" s="24" t="e">
        <f>VLOOKUP($A225,MINASA!$A$1:$BA$1000,10,FALSE)</f>
        <v>#N/A</v>
      </c>
      <c r="C225" s="20" t="e">
        <f t="shared" si="6"/>
        <v>#N/A</v>
      </c>
      <c r="D225" s="20" t="e">
        <f>VLOOKUP($A225,MINASA!$A$1:$BA$1000,27,FALSE)</f>
        <v>#N/A</v>
      </c>
      <c r="E225" s="20" t="e">
        <f>VLOOKUP($A225,MINASA!$A$1:$BA$1000,26,FALSE)</f>
        <v>#N/A</v>
      </c>
      <c r="F225" s="21" t="e">
        <f>VLOOKUP($A225,MINASA!$A$1:$BA$1000,30,FALSE)</f>
        <v>#N/A</v>
      </c>
      <c r="G225" s="20" t="e">
        <f>VLOOKUP($A225,MINASA!$A$1:$BA$1000,31,FALSE)</f>
        <v>#N/A</v>
      </c>
      <c r="H225" s="20" t="e">
        <f>VLOOKUP($A225,MINASA!$A$1:$BA$1000,47,FALSE)</f>
        <v>#N/A</v>
      </c>
      <c r="I225" s="21" t="e">
        <f>VLOOKUP($A225,MINASA!$A$1:$BA$1000,52,FALSE)</f>
        <v>#N/A</v>
      </c>
      <c r="J225" s="21" t="e">
        <f>VLOOKUP($A225,MINASA!$A$1:$BA$1000,53,FALSE)</f>
        <v>#N/A</v>
      </c>
      <c r="L225" s="20" t="s">
        <v>14</v>
      </c>
      <c r="M225" s="20" t="e">
        <f t="shared" si="5"/>
        <v>#N/A</v>
      </c>
      <c r="N225" s="20" t="s">
        <v>345</v>
      </c>
    </row>
    <row r="226" spans="1:14" ht="81.75" customHeight="1" thickBot="1">
      <c r="A226" s="20">
        <v>225</v>
      </c>
      <c r="B226" s="24" t="e">
        <f>VLOOKUP($A226,MINASA!$A$1:$BA$1000,10,FALSE)</f>
        <v>#N/A</v>
      </c>
      <c r="C226" s="20" t="e">
        <f t="shared" si="6"/>
        <v>#N/A</v>
      </c>
      <c r="D226" s="20" t="e">
        <f>VLOOKUP($A226,MINASA!$A$1:$BA$1000,27,FALSE)</f>
        <v>#N/A</v>
      </c>
      <c r="E226" s="20" t="e">
        <f>VLOOKUP($A226,MINASA!$A$1:$BA$1000,26,FALSE)</f>
        <v>#N/A</v>
      </c>
      <c r="F226" s="21" t="e">
        <f>VLOOKUP($A226,MINASA!$A$1:$BA$1000,30,FALSE)</f>
        <v>#N/A</v>
      </c>
      <c r="G226" s="20" t="e">
        <f>VLOOKUP($A226,MINASA!$A$1:$BA$1000,31,FALSE)</f>
        <v>#N/A</v>
      </c>
      <c r="H226" s="20" t="e">
        <f>VLOOKUP($A226,MINASA!$A$1:$BA$1000,47,FALSE)</f>
        <v>#N/A</v>
      </c>
      <c r="I226" s="21" t="e">
        <f>VLOOKUP($A226,MINASA!$A$1:$BA$1000,52,FALSE)</f>
        <v>#N/A</v>
      </c>
      <c r="J226" s="21" t="e">
        <f>VLOOKUP($A226,MINASA!$A$1:$BA$1000,53,FALSE)</f>
        <v>#N/A</v>
      </c>
      <c r="L226" s="20" t="s">
        <v>14</v>
      </c>
      <c r="M226" s="20" t="e">
        <f t="shared" si="5"/>
        <v>#N/A</v>
      </c>
      <c r="N226" s="20" t="s">
        <v>346</v>
      </c>
    </row>
    <row r="227" spans="1:14" ht="81.75" customHeight="1" thickBot="1">
      <c r="A227" s="20">
        <v>226</v>
      </c>
      <c r="B227" s="24" t="e">
        <f>VLOOKUP($A227,MINASA!$A$1:$BA$1000,10,FALSE)</f>
        <v>#N/A</v>
      </c>
      <c r="C227" s="20" t="e">
        <f t="shared" si="6"/>
        <v>#N/A</v>
      </c>
      <c r="D227" s="20" t="e">
        <f>VLOOKUP($A227,MINASA!$A$1:$BA$1000,27,FALSE)</f>
        <v>#N/A</v>
      </c>
      <c r="E227" s="20" t="e">
        <f>VLOOKUP($A227,MINASA!$A$1:$BA$1000,26,FALSE)</f>
        <v>#N/A</v>
      </c>
      <c r="F227" s="21" t="e">
        <f>VLOOKUP($A227,MINASA!$A$1:$BA$1000,30,FALSE)</f>
        <v>#N/A</v>
      </c>
      <c r="G227" s="20" t="e">
        <f>VLOOKUP($A227,MINASA!$A$1:$BA$1000,31,FALSE)</f>
        <v>#N/A</v>
      </c>
      <c r="H227" s="20" t="e">
        <f>VLOOKUP($A227,MINASA!$A$1:$BA$1000,47,FALSE)</f>
        <v>#N/A</v>
      </c>
      <c r="I227" s="21" t="e">
        <f>VLOOKUP($A227,MINASA!$A$1:$BA$1000,52,FALSE)</f>
        <v>#N/A</v>
      </c>
      <c r="J227" s="21" t="e">
        <f>VLOOKUP($A227,MINASA!$A$1:$BA$1000,53,FALSE)</f>
        <v>#N/A</v>
      </c>
      <c r="L227" s="20" t="s">
        <v>14</v>
      </c>
      <c r="M227" s="20" t="e">
        <f t="shared" si="5"/>
        <v>#N/A</v>
      </c>
      <c r="N227" s="20" t="s">
        <v>347</v>
      </c>
    </row>
    <row r="228" spans="1:14" ht="81.75" customHeight="1" thickBot="1">
      <c r="A228" s="20">
        <v>227</v>
      </c>
      <c r="B228" s="24" t="e">
        <f>VLOOKUP($A228,MINASA!$A$1:$BA$1000,10,FALSE)</f>
        <v>#N/A</v>
      </c>
      <c r="C228" s="20" t="e">
        <f t="shared" si="6"/>
        <v>#N/A</v>
      </c>
      <c r="D228" s="20" t="e">
        <f>VLOOKUP($A228,MINASA!$A$1:$BA$1000,27,FALSE)</f>
        <v>#N/A</v>
      </c>
      <c r="E228" s="20" t="e">
        <f>VLOOKUP($A228,MINASA!$A$1:$BA$1000,26,FALSE)</f>
        <v>#N/A</v>
      </c>
      <c r="F228" s="21" t="e">
        <f>VLOOKUP($A228,MINASA!$A$1:$BA$1000,30,FALSE)</f>
        <v>#N/A</v>
      </c>
      <c r="G228" s="20" t="e">
        <f>VLOOKUP($A228,MINASA!$A$1:$BA$1000,31,FALSE)</f>
        <v>#N/A</v>
      </c>
      <c r="H228" s="20" t="e">
        <f>VLOOKUP($A228,MINASA!$A$1:$BA$1000,47,FALSE)</f>
        <v>#N/A</v>
      </c>
      <c r="I228" s="21" t="e">
        <f>VLOOKUP($A228,MINASA!$A$1:$BA$1000,52,FALSE)</f>
        <v>#N/A</v>
      </c>
      <c r="J228" s="21" t="e">
        <f>VLOOKUP($A228,MINASA!$A$1:$BA$1000,53,FALSE)</f>
        <v>#N/A</v>
      </c>
      <c r="L228" s="20" t="s">
        <v>14</v>
      </c>
      <c r="M228" s="20" t="e">
        <f t="shared" si="5"/>
        <v>#N/A</v>
      </c>
      <c r="N228" s="20" t="s">
        <v>348</v>
      </c>
    </row>
    <row r="229" spans="1:14" ht="81.75" customHeight="1" thickBot="1">
      <c r="A229" s="20">
        <v>228</v>
      </c>
      <c r="B229" s="24" t="e">
        <f>VLOOKUP($A229,MINASA!$A$1:$BA$1000,10,FALSE)</f>
        <v>#N/A</v>
      </c>
      <c r="C229" s="20" t="e">
        <f t="shared" si="6"/>
        <v>#N/A</v>
      </c>
      <c r="D229" s="20" t="e">
        <f>VLOOKUP($A229,MINASA!$A$1:$BA$1000,27,FALSE)</f>
        <v>#N/A</v>
      </c>
      <c r="E229" s="20" t="e">
        <f>VLOOKUP($A229,MINASA!$A$1:$BA$1000,26,FALSE)</f>
        <v>#N/A</v>
      </c>
      <c r="F229" s="21" t="e">
        <f>VLOOKUP($A229,MINASA!$A$1:$BA$1000,30,FALSE)</f>
        <v>#N/A</v>
      </c>
      <c r="G229" s="20" t="e">
        <f>VLOOKUP($A229,MINASA!$A$1:$BA$1000,31,FALSE)</f>
        <v>#N/A</v>
      </c>
      <c r="H229" s="20" t="e">
        <f>VLOOKUP($A229,MINASA!$A$1:$BA$1000,47,FALSE)</f>
        <v>#N/A</v>
      </c>
      <c r="I229" s="21" t="e">
        <f>VLOOKUP($A229,MINASA!$A$1:$BA$1000,52,FALSE)</f>
        <v>#N/A</v>
      </c>
      <c r="J229" s="21" t="e">
        <f>VLOOKUP($A229,MINASA!$A$1:$BA$1000,53,FALSE)</f>
        <v>#N/A</v>
      </c>
      <c r="L229" s="20" t="s">
        <v>14</v>
      </c>
      <c r="M229" s="20" t="e">
        <f t="shared" si="5"/>
        <v>#N/A</v>
      </c>
      <c r="N229" s="20" t="s">
        <v>349</v>
      </c>
    </row>
    <row r="230" spans="1:14" ht="81.75" customHeight="1" thickBot="1">
      <c r="A230" s="20">
        <v>229</v>
      </c>
      <c r="B230" s="24" t="e">
        <f>VLOOKUP($A230,MINASA!$A$1:$BA$1000,10,FALSE)</f>
        <v>#N/A</v>
      </c>
      <c r="C230" s="20" t="e">
        <f t="shared" si="6"/>
        <v>#N/A</v>
      </c>
      <c r="D230" s="20" t="e">
        <f>VLOOKUP($A230,MINASA!$A$1:$BA$1000,27,FALSE)</f>
        <v>#N/A</v>
      </c>
      <c r="E230" s="20" t="e">
        <f>VLOOKUP($A230,MINASA!$A$1:$BA$1000,26,FALSE)</f>
        <v>#N/A</v>
      </c>
      <c r="F230" s="21" t="e">
        <f>VLOOKUP($A230,MINASA!$A$1:$BA$1000,30,FALSE)</f>
        <v>#N/A</v>
      </c>
      <c r="G230" s="20" t="e">
        <f>VLOOKUP($A230,MINASA!$A$1:$BA$1000,31,FALSE)</f>
        <v>#N/A</v>
      </c>
      <c r="H230" s="20" t="e">
        <f>VLOOKUP($A230,MINASA!$A$1:$BA$1000,47,FALSE)</f>
        <v>#N/A</v>
      </c>
      <c r="I230" s="21" t="e">
        <f>VLOOKUP($A230,MINASA!$A$1:$BA$1000,52,FALSE)</f>
        <v>#N/A</v>
      </c>
      <c r="J230" s="21" t="e">
        <f>VLOOKUP($A230,MINASA!$A$1:$BA$1000,53,FALSE)</f>
        <v>#N/A</v>
      </c>
      <c r="L230" s="20" t="s">
        <v>14</v>
      </c>
      <c r="M230" s="20" t="e">
        <f t="shared" si="5"/>
        <v>#N/A</v>
      </c>
      <c r="N230" s="20" t="s">
        <v>350</v>
      </c>
    </row>
    <row r="231" spans="1:14" ht="81.75" customHeight="1" thickBot="1">
      <c r="A231" s="20">
        <v>230</v>
      </c>
      <c r="B231" s="24" t="e">
        <f>VLOOKUP($A231,MINASA!$A$1:$BA$1000,10,FALSE)</f>
        <v>#N/A</v>
      </c>
      <c r="C231" s="20" t="e">
        <f t="shared" si="6"/>
        <v>#N/A</v>
      </c>
      <c r="D231" s="20" t="e">
        <f>VLOOKUP($A231,MINASA!$A$1:$BA$1000,27,FALSE)</f>
        <v>#N/A</v>
      </c>
      <c r="E231" s="20" t="e">
        <f>VLOOKUP($A231,MINASA!$A$1:$BA$1000,26,FALSE)</f>
        <v>#N/A</v>
      </c>
      <c r="F231" s="21" t="e">
        <f>VLOOKUP($A231,MINASA!$A$1:$BA$1000,30,FALSE)</f>
        <v>#N/A</v>
      </c>
      <c r="G231" s="20" t="e">
        <f>VLOOKUP($A231,MINASA!$A$1:$BA$1000,31,FALSE)</f>
        <v>#N/A</v>
      </c>
      <c r="H231" s="20" t="e">
        <f>VLOOKUP($A231,MINASA!$A$1:$BA$1000,47,FALSE)</f>
        <v>#N/A</v>
      </c>
      <c r="I231" s="21" t="e">
        <f>VLOOKUP($A231,MINASA!$A$1:$BA$1000,52,FALSE)</f>
        <v>#N/A</v>
      </c>
      <c r="J231" s="21" t="e">
        <f>VLOOKUP($A231,MINASA!$A$1:$BA$1000,53,FALSE)</f>
        <v>#N/A</v>
      </c>
      <c r="L231" s="20" t="s">
        <v>14</v>
      </c>
      <c r="M231" s="20" t="e">
        <f t="shared" si="5"/>
        <v>#N/A</v>
      </c>
      <c r="N231" s="20" t="s">
        <v>351</v>
      </c>
    </row>
    <row r="232" spans="1:14" ht="81.75" customHeight="1" thickBot="1">
      <c r="A232" s="20">
        <v>231</v>
      </c>
      <c r="B232" s="24" t="e">
        <f>VLOOKUP($A232,MINASA!$A$1:$BA$1000,10,FALSE)</f>
        <v>#N/A</v>
      </c>
      <c r="C232" s="20" t="e">
        <f t="shared" si="6"/>
        <v>#N/A</v>
      </c>
      <c r="D232" s="20" t="e">
        <f>VLOOKUP($A232,MINASA!$A$1:$BA$1000,27,FALSE)</f>
        <v>#N/A</v>
      </c>
      <c r="E232" s="20" t="e">
        <f>VLOOKUP($A232,MINASA!$A$1:$BA$1000,26,FALSE)</f>
        <v>#N/A</v>
      </c>
      <c r="F232" s="21" t="e">
        <f>VLOOKUP($A232,MINASA!$A$1:$BA$1000,30,FALSE)</f>
        <v>#N/A</v>
      </c>
      <c r="G232" s="20" t="e">
        <f>VLOOKUP($A232,MINASA!$A$1:$BA$1000,31,FALSE)</f>
        <v>#N/A</v>
      </c>
      <c r="H232" s="20" t="e">
        <f>VLOOKUP($A232,MINASA!$A$1:$BA$1000,47,FALSE)</f>
        <v>#N/A</v>
      </c>
      <c r="I232" s="21" t="e">
        <f>VLOOKUP($A232,MINASA!$A$1:$BA$1000,52,FALSE)</f>
        <v>#N/A</v>
      </c>
      <c r="J232" s="21" t="e">
        <f>VLOOKUP($A232,MINASA!$A$1:$BA$1000,53,FALSE)</f>
        <v>#N/A</v>
      </c>
      <c r="L232" s="20" t="s">
        <v>14</v>
      </c>
      <c r="M232" s="20" t="e">
        <f t="shared" si="5"/>
        <v>#N/A</v>
      </c>
      <c r="N232" s="20" t="s">
        <v>352</v>
      </c>
    </row>
    <row r="233" spans="1:14" ht="81.75" customHeight="1" thickBot="1">
      <c r="A233" s="20">
        <v>232</v>
      </c>
      <c r="B233" s="24" t="e">
        <f>VLOOKUP($A233,MINASA!$A$1:$BA$1000,10,FALSE)</f>
        <v>#N/A</v>
      </c>
      <c r="C233" s="20" t="e">
        <f t="shared" si="6"/>
        <v>#N/A</v>
      </c>
      <c r="D233" s="20" t="e">
        <f>VLOOKUP($A233,MINASA!$A$1:$BA$1000,27,FALSE)</f>
        <v>#N/A</v>
      </c>
      <c r="E233" s="20" t="e">
        <f>VLOOKUP($A233,MINASA!$A$1:$BA$1000,26,FALSE)</f>
        <v>#N/A</v>
      </c>
      <c r="F233" s="21" t="e">
        <f>VLOOKUP($A233,MINASA!$A$1:$BA$1000,30,FALSE)</f>
        <v>#N/A</v>
      </c>
      <c r="G233" s="20" t="e">
        <f>VLOOKUP($A233,MINASA!$A$1:$BA$1000,31,FALSE)</f>
        <v>#N/A</v>
      </c>
      <c r="H233" s="20" t="e">
        <f>VLOOKUP($A233,MINASA!$A$1:$BA$1000,47,FALSE)</f>
        <v>#N/A</v>
      </c>
      <c r="I233" s="21" t="e">
        <f>VLOOKUP($A233,MINASA!$A$1:$BA$1000,52,FALSE)</f>
        <v>#N/A</v>
      </c>
      <c r="J233" s="21" t="e">
        <f>VLOOKUP($A233,MINASA!$A$1:$BA$1000,53,FALSE)</f>
        <v>#N/A</v>
      </c>
      <c r="L233" s="20" t="s">
        <v>14</v>
      </c>
      <c r="M233" s="20" t="e">
        <f t="shared" si="5"/>
        <v>#N/A</v>
      </c>
      <c r="N233" s="20" t="s">
        <v>353</v>
      </c>
    </row>
    <row r="234" spans="1:14" ht="81.75" customHeight="1" thickBot="1">
      <c r="A234" s="20">
        <v>233</v>
      </c>
      <c r="B234" s="24" t="e">
        <f>VLOOKUP($A234,MINASA!$A$1:$BA$1000,10,FALSE)</f>
        <v>#N/A</v>
      </c>
      <c r="C234" s="20" t="e">
        <f t="shared" si="6"/>
        <v>#N/A</v>
      </c>
      <c r="D234" s="20" t="e">
        <f>VLOOKUP($A234,MINASA!$A$1:$BA$1000,27,FALSE)</f>
        <v>#N/A</v>
      </c>
      <c r="E234" s="20" t="e">
        <f>VLOOKUP($A234,MINASA!$A$1:$BA$1000,26,FALSE)</f>
        <v>#N/A</v>
      </c>
      <c r="F234" s="21" t="e">
        <f>VLOOKUP($A234,MINASA!$A$1:$BA$1000,30,FALSE)</f>
        <v>#N/A</v>
      </c>
      <c r="G234" s="20" t="e">
        <f>VLOOKUP($A234,MINASA!$A$1:$BA$1000,31,FALSE)</f>
        <v>#N/A</v>
      </c>
      <c r="H234" s="20" t="e">
        <f>VLOOKUP($A234,MINASA!$A$1:$BA$1000,47,FALSE)</f>
        <v>#N/A</v>
      </c>
      <c r="I234" s="21" t="e">
        <f>VLOOKUP($A234,MINASA!$A$1:$BA$1000,52,FALSE)</f>
        <v>#N/A</v>
      </c>
      <c r="J234" s="21" t="e">
        <f>VLOOKUP($A234,MINASA!$A$1:$BA$1000,53,FALSE)</f>
        <v>#N/A</v>
      </c>
      <c r="L234" s="20" t="s">
        <v>14</v>
      </c>
      <c r="M234" s="20" t="e">
        <f t="shared" ref="M234:M297" si="7">CONCATENATE(L234,C234,".jpg")</f>
        <v>#N/A</v>
      </c>
      <c r="N234" s="20" t="s">
        <v>354</v>
      </c>
    </row>
    <row r="235" spans="1:14" ht="81.75" customHeight="1" thickBot="1">
      <c r="A235" s="20">
        <v>234</v>
      </c>
      <c r="B235" s="24" t="e">
        <f>VLOOKUP($A235,MINASA!$A$1:$BA$1000,10,FALSE)</f>
        <v>#N/A</v>
      </c>
      <c r="C235" s="20" t="e">
        <f t="shared" si="6"/>
        <v>#N/A</v>
      </c>
      <c r="D235" s="20" t="e">
        <f>VLOOKUP($A235,MINASA!$A$1:$BA$1000,27,FALSE)</f>
        <v>#N/A</v>
      </c>
      <c r="E235" s="20" t="e">
        <f>VLOOKUP($A235,MINASA!$A$1:$BA$1000,26,FALSE)</f>
        <v>#N/A</v>
      </c>
      <c r="F235" s="21" t="e">
        <f>VLOOKUP($A235,MINASA!$A$1:$BA$1000,30,FALSE)</f>
        <v>#N/A</v>
      </c>
      <c r="G235" s="20" t="e">
        <f>VLOOKUP($A235,MINASA!$A$1:$BA$1000,31,FALSE)</f>
        <v>#N/A</v>
      </c>
      <c r="H235" s="20" t="e">
        <f>VLOOKUP($A235,MINASA!$A$1:$BA$1000,47,FALSE)</f>
        <v>#N/A</v>
      </c>
      <c r="I235" s="21" t="e">
        <f>VLOOKUP($A235,MINASA!$A$1:$BA$1000,52,FALSE)</f>
        <v>#N/A</v>
      </c>
      <c r="J235" s="21" t="e">
        <f>VLOOKUP($A235,MINASA!$A$1:$BA$1000,53,FALSE)</f>
        <v>#N/A</v>
      </c>
      <c r="L235" s="20" t="s">
        <v>14</v>
      </c>
      <c r="M235" s="20" t="e">
        <f t="shared" si="7"/>
        <v>#N/A</v>
      </c>
      <c r="N235" s="20" t="s">
        <v>355</v>
      </c>
    </row>
    <row r="236" spans="1:14" ht="81.75" customHeight="1" thickBot="1">
      <c r="A236" s="20">
        <v>235</v>
      </c>
      <c r="B236" s="24" t="e">
        <f>VLOOKUP($A236,MINASA!$A$1:$BA$1000,10,FALSE)</f>
        <v>#N/A</v>
      </c>
      <c r="C236" s="20" t="e">
        <f t="shared" si="6"/>
        <v>#N/A</v>
      </c>
      <c r="D236" s="20" t="e">
        <f>VLOOKUP($A236,MINASA!$A$1:$BA$1000,27,FALSE)</f>
        <v>#N/A</v>
      </c>
      <c r="E236" s="20" t="e">
        <f>VLOOKUP($A236,MINASA!$A$1:$BA$1000,26,FALSE)</f>
        <v>#N/A</v>
      </c>
      <c r="F236" s="21" t="e">
        <f>VLOOKUP($A236,MINASA!$A$1:$BA$1000,30,FALSE)</f>
        <v>#N/A</v>
      </c>
      <c r="G236" s="20" t="e">
        <f>VLOOKUP($A236,MINASA!$A$1:$BA$1000,31,FALSE)</f>
        <v>#N/A</v>
      </c>
      <c r="H236" s="20" t="e">
        <f>VLOOKUP($A236,MINASA!$A$1:$BA$1000,47,FALSE)</f>
        <v>#N/A</v>
      </c>
      <c r="I236" s="21" t="e">
        <f>VLOOKUP($A236,MINASA!$A$1:$BA$1000,52,FALSE)</f>
        <v>#N/A</v>
      </c>
      <c r="J236" s="21" t="e">
        <f>VLOOKUP($A236,MINASA!$A$1:$BA$1000,53,FALSE)</f>
        <v>#N/A</v>
      </c>
      <c r="L236" s="20" t="s">
        <v>14</v>
      </c>
      <c r="M236" s="20" t="e">
        <f t="shared" si="7"/>
        <v>#N/A</v>
      </c>
      <c r="N236" s="20" t="s">
        <v>356</v>
      </c>
    </row>
    <row r="237" spans="1:14" ht="81.75" customHeight="1" thickBot="1">
      <c r="A237" s="20">
        <v>236</v>
      </c>
      <c r="B237" s="24" t="e">
        <f>VLOOKUP($A237,MINASA!$A$1:$BA$1000,10,FALSE)</f>
        <v>#N/A</v>
      </c>
      <c r="C237" s="20" t="e">
        <f t="shared" si="6"/>
        <v>#N/A</v>
      </c>
      <c r="D237" s="20" t="e">
        <f>VLOOKUP($A237,MINASA!$A$1:$BA$1000,27,FALSE)</f>
        <v>#N/A</v>
      </c>
      <c r="E237" s="20" t="e">
        <f>VLOOKUP($A237,MINASA!$A$1:$BA$1000,26,FALSE)</f>
        <v>#N/A</v>
      </c>
      <c r="F237" s="21" t="e">
        <f>VLOOKUP($A237,MINASA!$A$1:$BA$1000,30,FALSE)</f>
        <v>#N/A</v>
      </c>
      <c r="G237" s="20" t="e">
        <f>VLOOKUP($A237,MINASA!$A$1:$BA$1000,31,FALSE)</f>
        <v>#N/A</v>
      </c>
      <c r="H237" s="20" t="e">
        <f>VLOOKUP($A237,MINASA!$A$1:$BA$1000,47,FALSE)</f>
        <v>#N/A</v>
      </c>
      <c r="I237" s="21" t="e">
        <f>VLOOKUP($A237,MINASA!$A$1:$BA$1000,52,FALSE)</f>
        <v>#N/A</v>
      </c>
      <c r="J237" s="21" t="e">
        <f>VLOOKUP($A237,MINASA!$A$1:$BA$1000,53,FALSE)</f>
        <v>#N/A</v>
      </c>
      <c r="L237" s="20" t="s">
        <v>14</v>
      </c>
      <c r="M237" s="20" t="e">
        <f t="shared" si="7"/>
        <v>#N/A</v>
      </c>
      <c r="N237" s="20" t="s">
        <v>357</v>
      </c>
    </row>
    <row r="238" spans="1:14" ht="81.75" customHeight="1" thickBot="1">
      <c r="A238" s="20">
        <v>237</v>
      </c>
      <c r="B238" s="24" t="e">
        <f>VLOOKUP($A238,MINASA!$A$1:$BA$1000,10,FALSE)</f>
        <v>#N/A</v>
      </c>
      <c r="C238" s="20" t="e">
        <f t="shared" si="6"/>
        <v>#N/A</v>
      </c>
      <c r="D238" s="20" t="e">
        <f>VLOOKUP($A238,MINASA!$A$1:$BA$1000,27,FALSE)</f>
        <v>#N/A</v>
      </c>
      <c r="E238" s="20" t="e">
        <f>VLOOKUP($A238,MINASA!$A$1:$BA$1000,26,FALSE)</f>
        <v>#N/A</v>
      </c>
      <c r="F238" s="21" t="e">
        <f>VLOOKUP($A238,MINASA!$A$1:$BA$1000,30,FALSE)</f>
        <v>#N/A</v>
      </c>
      <c r="G238" s="20" t="e">
        <f>VLOOKUP($A238,MINASA!$A$1:$BA$1000,31,FALSE)</f>
        <v>#N/A</v>
      </c>
      <c r="H238" s="20" t="e">
        <f>VLOOKUP($A238,MINASA!$A$1:$BA$1000,47,FALSE)</f>
        <v>#N/A</v>
      </c>
      <c r="I238" s="21" t="e">
        <f>VLOOKUP($A238,MINASA!$A$1:$BA$1000,52,FALSE)</f>
        <v>#N/A</v>
      </c>
      <c r="J238" s="21" t="e">
        <f>VLOOKUP($A238,MINASA!$A$1:$BA$1000,53,FALSE)</f>
        <v>#N/A</v>
      </c>
      <c r="L238" s="20" t="s">
        <v>14</v>
      </c>
      <c r="M238" s="20" t="e">
        <f t="shared" si="7"/>
        <v>#N/A</v>
      </c>
      <c r="N238" s="20" t="s">
        <v>358</v>
      </c>
    </row>
    <row r="239" spans="1:14" ht="81.75" customHeight="1" thickBot="1">
      <c r="A239" s="20">
        <v>238</v>
      </c>
      <c r="B239" s="24" t="e">
        <f>VLOOKUP($A239,MINASA!$A$1:$BA$1000,10,FALSE)</f>
        <v>#N/A</v>
      </c>
      <c r="C239" s="20" t="e">
        <f t="shared" si="6"/>
        <v>#N/A</v>
      </c>
      <c r="D239" s="20" t="e">
        <f>VLOOKUP($A239,MINASA!$A$1:$BA$1000,27,FALSE)</f>
        <v>#N/A</v>
      </c>
      <c r="E239" s="20" t="e">
        <f>VLOOKUP($A239,MINASA!$A$1:$BA$1000,26,FALSE)</f>
        <v>#N/A</v>
      </c>
      <c r="F239" s="21" t="e">
        <f>VLOOKUP($A239,MINASA!$A$1:$BA$1000,30,FALSE)</f>
        <v>#N/A</v>
      </c>
      <c r="G239" s="20" t="e">
        <f>VLOOKUP($A239,MINASA!$A$1:$BA$1000,31,FALSE)</f>
        <v>#N/A</v>
      </c>
      <c r="H239" s="20" t="e">
        <f>VLOOKUP($A239,MINASA!$A$1:$BA$1000,47,FALSE)</f>
        <v>#N/A</v>
      </c>
      <c r="I239" s="21" t="e">
        <f>VLOOKUP($A239,MINASA!$A$1:$BA$1000,52,FALSE)</f>
        <v>#N/A</v>
      </c>
      <c r="J239" s="21" t="e">
        <f>VLOOKUP($A239,MINASA!$A$1:$BA$1000,53,FALSE)</f>
        <v>#N/A</v>
      </c>
      <c r="L239" s="20" t="s">
        <v>14</v>
      </c>
      <c r="M239" s="20" t="e">
        <f t="shared" si="7"/>
        <v>#N/A</v>
      </c>
      <c r="N239" s="20" t="s">
        <v>359</v>
      </c>
    </row>
    <row r="240" spans="1:14" ht="81.75" customHeight="1" thickBot="1">
      <c r="A240" s="20">
        <v>239</v>
      </c>
      <c r="B240" s="24" t="e">
        <f>VLOOKUP($A240,MINASA!$A$1:$BA$1000,10,FALSE)</f>
        <v>#N/A</v>
      </c>
      <c r="C240" s="20" t="e">
        <f t="shared" si="6"/>
        <v>#N/A</v>
      </c>
      <c r="D240" s="20" t="e">
        <f>VLOOKUP($A240,MINASA!$A$1:$BA$1000,27,FALSE)</f>
        <v>#N/A</v>
      </c>
      <c r="E240" s="20" t="e">
        <f>VLOOKUP($A240,MINASA!$A$1:$BA$1000,26,FALSE)</f>
        <v>#N/A</v>
      </c>
      <c r="F240" s="21" t="e">
        <f>VLOOKUP($A240,MINASA!$A$1:$BA$1000,30,FALSE)</f>
        <v>#N/A</v>
      </c>
      <c r="G240" s="20" t="e">
        <f>VLOOKUP($A240,MINASA!$A$1:$BA$1000,31,FALSE)</f>
        <v>#N/A</v>
      </c>
      <c r="H240" s="20" t="e">
        <f>VLOOKUP($A240,MINASA!$A$1:$BA$1000,47,FALSE)</f>
        <v>#N/A</v>
      </c>
      <c r="I240" s="21" t="e">
        <f>VLOOKUP($A240,MINASA!$A$1:$BA$1000,52,FALSE)</f>
        <v>#N/A</v>
      </c>
      <c r="J240" s="21" t="e">
        <f>VLOOKUP($A240,MINASA!$A$1:$BA$1000,53,FALSE)</f>
        <v>#N/A</v>
      </c>
      <c r="L240" s="20" t="s">
        <v>14</v>
      </c>
      <c r="M240" s="20" t="e">
        <f t="shared" si="7"/>
        <v>#N/A</v>
      </c>
      <c r="N240" s="20" t="s">
        <v>360</v>
      </c>
    </row>
    <row r="241" spans="1:14" ht="81.75" customHeight="1" thickBot="1">
      <c r="A241" s="20">
        <v>240</v>
      </c>
      <c r="B241" s="24" t="e">
        <f>VLOOKUP($A241,MINASA!$A$1:$BA$1000,10,FALSE)</f>
        <v>#N/A</v>
      </c>
      <c r="C241" s="20" t="e">
        <f t="shared" si="6"/>
        <v>#N/A</v>
      </c>
      <c r="D241" s="20" t="e">
        <f>VLOOKUP($A241,MINASA!$A$1:$BA$1000,27,FALSE)</f>
        <v>#N/A</v>
      </c>
      <c r="E241" s="20" t="e">
        <f>VLOOKUP($A241,MINASA!$A$1:$BA$1000,26,FALSE)</f>
        <v>#N/A</v>
      </c>
      <c r="F241" s="21" t="e">
        <f>VLOOKUP($A241,MINASA!$A$1:$BA$1000,30,FALSE)</f>
        <v>#N/A</v>
      </c>
      <c r="G241" s="20" t="e">
        <f>VLOOKUP($A241,MINASA!$A$1:$BA$1000,31,FALSE)</f>
        <v>#N/A</v>
      </c>
      <c r="H241" s="20" t="e">
        <f>VLOOKUP($A241,MINASA!$A$1:$BA$1000,47,FALSE)</f>
        <v>#N/A</v>
      </c>
      <c r="I241" s="21" t="e">
        <f>VLOOKUP($A241,MINASA!$A$1:$BA$1000,52,FALSE)</f>
        <v>#N/A</v>
      </c>
      <c r="J241" s="21" t="e">
        <f>VLOOKUP($A241,MINASA!$A$1:$BA$1000,53,FALSE)</f>
        <v>#N/A</v>
      </c>
      <c r="L241" s="20" t="s">
        <v>14</v>
      </c>
      <c r="M241" s="20" t="e">
        <f t="shared" si="7"/>
        <v>#N/A</v>
      </c>
      <c r="N241" s="20" t="s">
        <v>361</v>
      </c>
    </row>
    <row r="242" spans="1:14" ht="81.75" customHeight="1" thickBot="1">
      <c r="A242" s="20">
        <v>241</v>
      </c>
      <c r="B242" s="24" t="e">
        <f>VLOOKUP($A242,MINASA!$A$1:$BA$1000,10,FALSE)</f>
        <v>#N/A</v>
      </c>
      <c r="C242" s="20" t="e">
        <f t="shared" si="6"/>
        <v>#N/A</v>
      </c>
      <c r="D242" s="20" t="e">
        <f>VLOOKUP($A242,MINASA!$A$1:$BA$1000,27,FALSE)</f>
        <v>#N/A</v>
      </c>
      <c r="E242" s="20" t="e">
        <f>VLOOKUP($A242,MINASA!$A$1:$BA$1000,26,FALSE)</f>
        <v>#N/A</v>
      </c>
      <c r="F242" s="21" t="e">
        <f>VLOOKUP($A242,MINASA!$A$1:$BA$1000,30,FALSE)</f>
        <v>#N/A</v>
      </c>
      <c r="G242" s="20" t="e">
        <f>VLOOKUP($A242,MINASA!$A$1:$BA$1000,31,FALSE)</f>
        <v>#N/A</v>
      </c>
      <c r="H242" s="20" t="e">
        <f>VLOOKUP($A242,MINASA!$A$1:$BA$1000,47,FALSE)</f>
        <v>#N/A</v>
      </c>
      <c r="I242" s="21" t="e">
        <f>VLOOKUP($A242,MINASA!$A$1:$BA$1000,52,FALSE)</f>
        <v>#N/A</v>
      </c>
      <c r="J242" s="21" t="e">
        <f>VLOOKUP($A242,MINASA!$A$1:$BA$1000,53,FALSE)</f>
        <v>#N/A</v>
      </c>
      <c r="L242" s="20" t="s">
        <v>14</v>
      </c>
      <c r="M242" s="20" t="e">
        <f t="shared" si="7"/>
        <v>#N/A</v>
      </c>
      <c r="N242" s="20" t="s">
        <v>362</v>
      </c>
    </row>
    <row r="243" spans="1:14" ht="81.75" customHeight="1" thickBot="1">
      <c r="A243" s="20">
        <v>242</v>
      </c>
      <c r="B243" s="24" t="e">
        <f>VLOOKUP($A243,MINASA!$A$1:$BA$1000,10,FALSE)</f>
        <v>#N/A</v>
      </c>
      <c r="C243" s="20" t="e">
        <f t="shared" si="6"/>
        <v>#N/A</v>
      </c>
      <c r="D243" s="20" t="e">
        <f>VLOOKUP($A243,MINASA!$A$1:$BA$1000,27,FALSE)</f>
        <v>#N/A</v>
      </c>
      <c r="E243" s="20" t="e">
        <f>VLOOKUP($A243,MINASA!$A$1:$BA$1000,26,FALSE)</f>
        <v>#N/A</v>
      </c>
      <c r="F243" s="21" t="e">
        <f>VLOOKUP($A243,MINASA!$A$1:$BA$1000,30,FALSE)</f>
        <v>#N/A</v>
      </c>
      <c r="G243" s="20" t="e">
        <f>VLOOKUP($A243,MINASA!$A$1:$BA$1000,31,FALSE)</f>
        <v>#N/A</v>
      </c>
      <c r="H243" s="20" t="e">
        <f>VLOOKUP($A243,MINASA!$A$1:$BA$1000,47,FALSE)</f>
        <v>#N/A</v>
      </c>
      <c r="I243" s="21" t="e">
        <f>VLOOKUP($A243,MINASA!$A$1:$BA$1000,52,FALSE)</f>
        <v>#N/A</v>
      </c>
      <c r="J243" s="21" t="e">
        <f>VLOOKUP($A243,MINASA!$A$1:$BA$1000,53,FALSE)</f>
        <v>#N/A</v>
      </c>
      <c r="L243" s="20" t="s">
        <v>14</v>
      </c>
      <c r="M243" s="20" t="e">
        <f t="shared" si="7"/>
        <v>#N/A</v>
      </c>
      <c r="N243" s="20" t="s">
        <v>363</v>
      </c>
    </row>
    <row r="244" spans="1:14" ht="81.75" customHeight="1" thickBot="1">
      <c r="A244" s="20">
        <v>243</v>
      </c>
      <c r="B244" s="24" t="e">
        <f>VLOOKUP($A244,MINASA!$A$1:$BA$1000,10,FALSE)</f>
        <v>#N/A</v>
      </c>
      <c r="C244" s="20" t="e">
        <f t="shared" si="6"/>
        <v>#N/A</v>
      </c>
      <c r="D244" s="20" t="e">
        <f>VLOOKUP($A244,MINASA!$A$1:$BA$1000,27,FALSE)</f>
        <v>#N/A</v>
      </c>
      <c r="E244" s="20" t="e">
        <f>VLOOKUP($A244,MINASA!$A$1:$BA$1000,26,FALSE)</f>
        <v>#N/A</v>
      </c>
      <c r="F244" s="21" t="e">
        <f>VLOOKUP($A244,MINASA!$A$1:$BA$1000,30,FALSE)</f>
        <v>#N/A</v>
      </c>
      <c r="G244" s="20" t="e">
        <f>VLOOKUP($A244,MINASA!$A$1:$BA$1000,31,FALSE)</f>
        <v>#N/A</v>
      </c>
      <c r="H244" s="20" t="e">
        <f>VLOOKUP($A244,MINASA!$A$1:$BA$1000,47,FALSE)</f>
        <v>#N/A</v>
      </c>
      <c r="I244" s="21" t="e">
        <f>VLOOKUP($A244,MINASA!$A$1:$BA$1000,52,FALSE)</f>
        <v>#N/A</v>
      </c>
      <c r="J244" s="21" t="e">
        <f>VLOOKUP($A244,MINASA!$A$1:$BA$1000,53,FALSE)</f>
        <v>#N/A</v>
      </c>
      <c r="L244" s="20" t="s">
        <v>14</v>
      </c>
      <c r="M244" s="20" t="e">
        <f t="shared" si="7"/>
        <v>#N/A</v>
      </c>
      <c r="N244" s="20" t="s">
        <v>364</v>
      </c>
    </row>
    <row r="245" spans="1:14" ht="81.75" customHeight="1" thickBot="1">
      <c r="A245" s="20">
        <v>244</v>
      </c>
      <c r="B245" s="24" t="e">
        <f>VLOOKUP($A245,MINASA!$A$1:$BA$1000,10,FALSE)</f>
        <v>#N/A</v>
      </c>
      <c r="C245" s="20" t="e">
        <f t="shared" si="6"/>
        <v>#N/A</v>
      </c>
      <c r="D245" s="20" t="e">
        <f>VLOOKUP($A245,MINASA!$A$1:$BA$1000,27,FALSE)</f>
        <v>#N/A</v>
      </c>
      <c r="E245" s="20" t="e">
        <f>VLOOKUP($A245,MINASA!$A$1:$BA$1000,26,FALSE)</f>
        <v>#N/A</v>
      </c>
      <c r="F245" s="21" t="e">
        <f>VLOOKUP($A245,MINASA!$A$1:$BA$1000,30,FALSE)</f>
        <v>#N/A</v>
      </c>
      <c r="G245" s="20" t="e">
        <f>VLOOKUP($A245,MINASA!$A$1:$BA$1000,31,FALSE)</f>
        <v>#N/A</v>
      </c>
      <c r="H245" s="20" t="e">
        <f>VLOOKUP($A245,MINASA!$A$1:$BA$1000,47,FALSE)</f>
        <v>#N/A</v>
      </c>
      <c r="I245" s="21" t="e">
        <f>VLOOKUP($A245,MINASA!$A$1:$BA$1000,52,FALSE)</f>
        <v>#N/A</v>
      </c>
      <c r="J245" s="21" t="e">
        <f>VLOOKUP($A245,MINASA!$A$1:$BA$1000,53,FALSE)</f>
        <v>#N/A</v>
      </c>
      <c r="L245" s="20" t="s">
        <v>14</v>
      </c>
      <c r="M245" s="20" t="e">
        <f t="shared" si="7"/>
        <v>#N/A</v>
      </c>
      <c r="N245" s="20" t="s">
        <v>365</v>
      </c>
    </row>
    <row r="246" spans="1:14" ht="81.75" customHeight="1" thickBot="1">
      <c r="A246" s="20">
        <v>245</v>
      </c>
      <c r="B246" s="24" t="e">
        <f>VLOOKUP($A246,MINASA!$A$1:$BA$1000,10,FALSE)</f>
        <v>#N/A</v>
      </c>
      <c r="C246" s="20" t="e">
        <f t="shared" si="6"/>
        <v>#N/A</v>
      </c>
      <c r="D246" s="20" t="e">
        <f>VLOOKUP($A246,MINASA!$A$1:$BA$1000,27,FALSE)</f>
        <v>#N/A</v>
      </c>
      <c r="E246" s="20" t="e">
        <f>VLOOKUP($A246,MINASA!$A$1:$BA$1000,26,FALSE)</f>
        <v>#N/A</v>
      </c>
      <c r="F246" s="21" t="e">
        <f>VLOOKUP($A246,MINASA!$A$1:$BA$1000,30,FALSE)</f>
        <v>#N/A</v>
      </c>
      <c r="G246" s="20" t="e">
        <f>VLOOKUP($A246,MINASA!$A$1:$BA$1000,31,FALSE)</f>
        <v>#N/A</v>
      </c>
      <c r="H246" s="20" t="e">
        <f>VLOOKUP($A246,MINASA!$A$1:$BA$1000,47,FALSE)</f>
        <v>#N/A</v>
      </c>
      <c r="I246" s="21" t="e">
        <f>VLOOKUP($A246,MINASA!$A$1:$BA$1000,52,FALSE)</f>
        <v>#N/A</v>
      </c>
      <c r="J246" s="21" t="e">
        <f>VLOOKUP($A246,MINASA!$A$1:$BA$1000,53,FALSE)</f>
        <v>#N/A</v>
      </c>
      <c r="L246" s="20" t="s">
        <v>14</v>
      </c>
      <c r="M246" s="20" t="e">
        <f t="shared" si="7"/>
        <v>#N/A</v>
      </c>
      <c r="N246" s="20" t="s">
        <v>366</v>
      </c>
    </row>
    <row r="247" spans="1:14" ht="81.75" customHeight="1" thickBot="1">
      <c r="A247" s="20">
        <v>246</v>
      </c>
      <c r="B247" s="24" t="e">
        <f>VLOOKUP($A247,MINASA!$A$1:$BA$1000,10,FALSE)</f>
        <v>#N/A</v>
      </c>
      <c r="C247" s="20" t="e">
        <f t="shared" si="6"/>
        <v>#N/A</v>
      </c>
      <c r="D247" s="20" t="e">
        <f>VLOOKUP($A247,MINASA!$A$1:$BA$1000,27,FALSE)</f>
        <v>#N/A</v>
      </c>
      <c r="E247" s="20" t="e">
        <f>VLOOKUP($A247,MINASA!$A$1:$BA$1000,26,FALSE)</f>
        <v>#N/A</v>
      </c>
      <c r="F247" s="21" t="e">
        <f>VLOOKUP($A247,MINASA!$A$1:$BA$1000,30,FALSE)</f>
        <v>#N/A</v>
      </c>
      <c r="G247" s="20" t="e">
        <f>VLOOKUP($A247,MINASA!$A$1:$BA$1000,31,FALSE)</f>
        <v>#N/A</v>
      </c>
      <c r="H247" s="20" t="e">
        <f>VLOOKUP($A247,MINASA!$A$1:$BA$1000,47,FALSE)</f>
        <v>#N/A</v>
      </c>
      <c r="I247" s="21" t="e">
        <f>VLOOKUP($A247,MINASA!$A$1:$BA$1000,52,FALSE)</f>
        <v>#N/A</v>
      </c>
      <c r="J247" s="21" t="e">
        <f>VLOOKUP($A247,MINASA!$A$1:$BA$1000,53,FALSE)</f>
        <v>#N/A</v>
      </c>
      <c r="L247" s="20" t="s">
        <v>14</v>
      </c>
      <c r="M247" s="20" t="e">
        <f t="shared" si="7"/>
        <v>#N/A</v>
      </c>
      <c r="N247" s="20" t="s">
        <v>367</v>
      </c>
    </row>
    <row r="248" spans="1:14" ht="81.75" customHeight="1" thickBot="1">
      <c r="A248" s="20">
        <v>247</v>
      </c>
      <c r="B248" s="24" t="e">
        <f>VLOOKUP($A248,MINASA!$A$1:$BA$1000,10,FALSE)</f>
        <v>#N/A</v>
      </c>
      <c r="C248" s="20" t="e">
        <f t="shared" si="6"/>
        <v>#N/A</v>
      </c>
      <c r="D248" s="20" t="e">
        <f>VLOOKUP($A248,MINASA!$A$1:$BA$1000,27,FALSE)</f>
        <v>#N/A</v>
      </c>
      <c r="E248" s="20" t="e">
        <f>VLOOKUP($A248,MINASA!$A$1:$BA$1000,26,FALSE)</f>
        <v>#N/A</v>
      </c>
      <c r="F248" s="21" t="e">
        <f>VLOOKUP($A248,MINASA!$A$1:$BA$1000,30,FALSE)</f>
        <v>#N/A</v>
      </c>
      <c r="G248" s="20" t="e">
        <f>VLOOKUP($A248,MINASA!$A$1:$BA$1000,31,FALSE)</f>
        <v>#N/A</v>
      </c>
      <c r="H248" s="20" t="e">
        <f>VLOOKUP($A248,MINASA!$A$1:$BA$1000,47,FALSE)</f>
        <v>#N/A</v>
      </c>
      <c r="I248" s="21" t="e">
        <f>VLOOKUP($A248,MINASA!$A$1:$BA$1000,52,FALSE)</f>
        <v>#N/A</v>
      </c>
      <c r="J248" s="21" t="e">
        <f>VLOOKUP($A248,MINASA!$A$1:$BA$1000,53,FALSE)</f>
        <v>#N/A</v>
      </c>
      <c r="L248" s="20" t="s">
        <v>14</v>
      </c>
      <c r="M248" s="20" t="e">
        <f t="shared" si="7"/>
        <v>#N/A</v>
      </c>
      <c r="N248" s="20" t="s">
        <v>368</v>
      </c>
    </row>
    <row r="249" spans="1:14" ht="81.75" customHeight="1" thickBot="1">
      <c r="A249" s="20">
        <v>248</v>
      </c>
      <c r="B249" s="24" t="e">
        <f>VLOOKUP($A249,MINASA!$A$1:$BA$1000,10,FALSE)</f>
        <v>#N/A</v>
      </c>
      <c r="C249" s="20" t="e">
        <f t="shared" si="6"/>
        <v>#N/A</v>
      </c>
      <c r="D249" s="20" t="e">
        <f>VLOOKUP($A249,MINASA!$A$1:$BA$1000,27,FALSE)</f>
        <v>#N/A</v>
      </c>
      <c r="E249" s="20" t="e">
        <f>VLOOKUP($A249,MINASA!$A$1:$BA$1000,26,FALSE)</f>
        <v>#N/A</v>
      </c>
      <c r="F249" s="21" t="e">
        <f>VLOOKUP($A249,MINASA!$A$1:$BA$1000,30,FALSE)</f>
        <v>#N/A</v>
      </c>
      <c r="G249" s="20" t="e">
        <f>VLOOKUP($A249,MINASA!$A$1:$BA$1000,31,FALSE)</f>
        <v>#N/A</v>
      </c>
      <c r="H249" s="20" t="e">
        <f>VLOOKUP($A249,MINASA!$A$1:$BA$1000,47,FALSE)</f>
        <v>#N/A</v>
      </c>
      <c r="I249" s="21" t="e">
        <f>VLOOKUP($A249,MINASA!$A$1:$BA$1000,52,FALSE)</f>
        <v>#N/A</v>
      </c>
      <c r="J249" s="21" t="e">
        <f>VLOOKUP($A249,MINASA!$A$1:$BA$1000,53,FALSE)</f>
        <v>#N/A</v>
      </c>
      <c r="L249" s="20" t="s">
        <v>14</v>
      </c>
      <c r="M249" s="20" t="e">
        <f t="shared" si="7"/>
        <v>#N/A</v>
      </c>
      <c r="N249" s="20" t="s">
        <v>369</v>
      </c>
    </row>
    <row r="250" spans="1:14" ht="81.75" customHeight="1" thickBot="1">
      <c r="A250" s="20">
        <v>249</v>
      </c>
      <c r="B250" s="24" t="e">
        <f>VLOOKUP($A250,MINASA!$A$1:$BA$1000,10,FALSE)</f>
        <v>#N/A</v>
      </c>
      <c r="C250" s="20" t="e">
        <f t="shared" si="6"/>
        <v>#N/A</v>
      </c>
      <c r="D250" s="20" t="e">
        <f>VLOOKUP($A250,MINASA!$A$1:$BA$1000,27,FALSE)</f>
        <v>#N/A</v>
      </c>
      <c r="E250" s="20" t="e">
        <f>VLOOKUP($A250,MINASA!$A$1:$BA$1000,26,FALSE)</f>
        <v>#N/A</v>
      </c>
      <c r="F250" s="21" t="e">
        <f>VLOOKUP($A250,MINASA!$A$1:$BA$1000,30,FALSE)</f>
        <v>#N/A</v>
      </c>
      <c r="G250" s="20" t="e">
        <f>VLOOKUP($A250,MINASA!$A$1:$BA$1000,31,FALSE)</f>
        <v>#N/A</v>
      </c>
      <c r="H250" s="20" t="e">
        <f>VLOOKUP($A250,MINASA!$A$1:$BA$1000,47,FALSE)</f>
        <v>#N/A</v>
      </c>
      <c r="I250" s="21" t="e">
        <f>VLOOKUP($A250,MINASA!$A$1:$BA$1000,52,FALSE)</f>
        <v>#N/A</v>
      </c>
      <c r="J250" s="21" t="e">
        <f>VLOOKUP($A250,MINASA!$A$1:$BA$1000,53,FALSE)</f>
        <v>#N/A</v>
      </c>
      <c r="L250" s="20" t="s">
        <v>14</v>
      </c>
      <c r="M250" s="20" t="e">
        <f t="shared" si="7"/>
        <v>#N/A</v>
      </c>
      <c r="N250" s="20" t="s">
        <v>370</v>
      </c>
    </row>
    <row r="251" spans="1:14" ht="81.75" customHeight="1" thickBot="1">
      <c r="A251" s="20">
        <v>250</v>
      </c>
      <c r="B251" s="24" t="e">
        <f>VLOOKUP($A251,MINASA!$A$1:$BA$1000,10,FALSE)</f>
        <v>#N/A</v>
      </c>
      <c r="C251" s="20" t="e">
        <f t="shared" si="6"/>
        <v>#N/A</v>
      </c>
      <c r="D251" s="20" t="e">
        <f>VLOOKUP($A251,MINASA!$A$1:$BA$1000,27,FALSE)</f>
        <v>#N/A</v>
      </c>
      <c r="E251" s="20" t="e">
        <f>VLOOKUP($A251,MINASA!$A$1:$BA$1000,26,FALSE)</f>
        <v>#N/A</v>
      </c>
      <c r="F251" s="21" t="e">
        <f>VLOOKUP($A251,MINASA!$A$1:$BA$1000,30,FALSE)</f>
        <v>#N/A</v>
      </c>
      <c r="G251" s="20" t="e">
        <f>VLOOKUP($A251,MINASA!$A$1:$BA$1000,31,FALSE)</f>
        <v>#N/A</v>
      </c>
      <c r="H251" s="20" t="e">
        <f>VLOOKUP($A251,MINASA!$A$1:$BA$1000,47,FALSE)</f>
        <v>#N/A</v>
      </c>
      <c r="I251" s="21" t="e">
        <f>VLOOKUP($A251,MINASA!$A$1:$BA$1000,52,FALSE)</f>
        <v>#N/A</v>
      </c>
      <c r="J251" s="21" t="e">
        <f>VLOOKUP($A251,MINASA!$A$1:$BA$1000,53,FALSE)</f>
        <v>#N/A</v>
      </c>
      <c r="L251" s="20" t="s">
        <v>14</v>
      </c>
      <c r="M251" s="20" t="e">
        <f t="shared" si="7"/>
        <v>#N/A</v>
      </c>
      <c r="N251" s="20" t="s">
        <v>371</v>
      </c>
    </row>
    <row r="252" spans="1:14" ht="81.75" customHeight="1" thickBot="1">
      <c r="A252" s="20">
        <v>251</v>
      </c>
      <c r="B252" s="24" t="e">
        <f>VLOOKUP($A252,MINASA!$A$1:$BA$1000,10,FALSE)</f>
        <v>#N/A</v>
      </c>
      <c r="C252" s="20" t="e">
        <f t="shared" si="6"/>
        <v>#N/A</v>
      </c>
      <c r="D252" s="20" t="e">
        <f>VLOOKUP($A252,MINASA!$A$1:$BA$1000,27,FALSE)</f>
        <v>#N/A</v>
      </c>
      <c r="E252" s="20" t="e">
        <f>VLOOKUP($A252,MINASA!$A$1:$BA$1000,26,FALSE)</f>
        <v>#N/A</v>
      </c>
      <c r="F252" s="21" t="e">
        <f>VLOOKUP($A252,MINASA!$A$1:$BA$1000,30,FALSE)</f>
        <v>#N/A</v>
      </c>
      <c r="G252" s="20" t="e">
        <f>VLOOKUP($A252,MINASA!$A$1:$BA$1000,31,FALSE)</f>
        <v>#N/A</v>
      </c>
      <c r="H252" s="20" t="e">
        <f>VLOOKUP($A252,MINASA!$A$1:$BA$1000,47,FALSE)</f>
        <v>#N/A</v>
      </c>
      <c r="I252" s="21" t="e">
        <f>VLOOKUP($A252,MINASA!$A$1:$BA$1000,52,FALSE)</f>
        <v>#N/A</v>
      </c>
      <c r="J252" s="21" t="e">
        <f>VLOOKUP($A252,MINASA!$A$1:$BA$1000,53,FALSE)</f>
        <v>#N/A</v>
      </c>
      <c r="L252" s="20" t="s">
        <v>14</v>
      </c>
      <c r="M252" s="20" t="e">
        <f t="shared" si="7"/>
        <v>#N/A</v>
      </c>
      <c r="N252" s="20" t="s">
        <v>372</v>
      </c>
    </row>
    <row r="253" spans="1:14" ht="81.75" customHeight="1" thickBot="1">
      <c r="A253" s="20">
        <v>252</v>
      </c>
      <c r="B253" s="24" t="e">
        <f>VLOOKUP($A253,MINASA!$A$1:$BA$1000,10,FALSE)</f>
        <v>#N/A</v>
      </c>
      <c r="C253" s="20" t="e">
        <f t="shared" si="6"/>
        <v>#N/A</v>
      </c>
      <c r="D253" s="20" t="e">
        <f>VLOOKUP($A253,MINASA!$A$1:$BA$1000,27,FALSE)</f>
        <v>#N/A</v>
      </c>
      <c r="E253" s="20" t="e">
        <f>VLOOKUP($A253,MINASA!$A$1:$BA$1000,26,FALSE)</f>
        <v>#N/A</v>
      </c>
      <c r="F253" s="21" t="e">
        <f>VLOOKUP($A253,MINASA!$A$1:$BA$1000,30,FALSE)</f>
        <v>#N/A</v>
      </c>
      <c r="G253" s="20" t="e">
        <f>VLOOKUP($A253,MINASA!$A$1:$BA$1000,31,FALSE)</f>
        <v>#N/A</v>
      </c>
      <c r="H253" s="20" t="e">
        <f>VLOOKUP($A253,MINASA!$A$1:$BA$1000,47,FALSE)</f>
        <v>#N/A</v>
      </c>
      <c r="I253" s="21" t="e">
        <f>VLOOKUP($A253,MINASA!$A$1:$BA$1000,52,FALSE)</f>
        <v>#N/A</v>
      </c>
      <c r="J253" s="21" t="e">
        <f>VLOOKUP($A253,MINASA!$A$1:$BA$1000,53,FALSE)</f>
        <v>#N/A</v>
      </c>
      <c r="L253" s="20" t="s">
        <v>14</v>
      </c>
      <c r="M253" s="20" t="e">
        <f t="shared" si="7"/>
        <v>#N/A</v>
      </c>
      <c r="N253" s="20" t="s">
        <v>373</v>
      </c>
    </row>
    <row r="254" spans="1:14" ht="81.75" customHeight="1" thickBot="1">
      <c r="A254" s="20">
        <v>253</v>
      </c>
      <c r="B254" s="24" t="e">
        <f>VLOOKUP($A254,MINASA!$A$1:$BA$1000,10,FALSE)</f>
        <v>#N/A</v>
      </c>
      <c r="C254" s="20" t="e">
        <f t="shared" si="6"/>
        <v>#N/A</v>
      </c>
      <c r="D254" s="20" t="e">
        <f>VLOOKUP($A254,MINASA!$A$1:$BA$1000,27,FALSE)</f>
        <v>#N/A</v>
      </c>
      <c r="E254" s="20" t="e">
        <f>VLOOKUP($A254,MINASA!$A$1:$BA$1000,26,FALSE)</f>
        <v>#N/A</v>
      </c>
      <c r="F254" s="21" t="e">
        <f>VLOOKUP($A254,MINASA!$A$1:$BA$1000,30,FALSE)</f>
        <v>#N/A</v>
      </c>
      <c r="G254" s="20" t="e">
        <f>VLOOKUP($A254,MINASA!$A$1:$BA$1000,31,FALSE)</f>
        <v>#N/A</v>
      </c>
      <c r="H254" s="20" t="e">
        <f>VLOOKUP($A254,MINASA!$A$1:$BA$1000,47,FALSE)</f>
        <v>#N/A</v>
      </c>
      <c r="I254" s="21" t="e">
        <f>VLOOKUP($A254,MINASA!$A$1:$BA$1000,52,FALSE)</f>
        <v>#N/A</v>
      </c>
      <c r="J254" s="21" t="e">
        <f>VLOOKUP($A254,MINASA!$A$1:$BA$1000,53,FALSE)</f>
        <v>#N/A</v>
      </c>
      <c r="L254" s="20" t="s">
        <v>14</v>
      </c>
      <c r="M254" s="20" t="e">
        <f t="shared" si="7"/>
        <v>#N/A</v>
      </c>
      <c r="N254" s="20" t="s">
        <v>374</v>
      </c>
    </row>
    <row r="255" spans="1:14" ht="81.75" customHeight="1" thickBot="1">
      <c r="A255" s="20">
        <v>254</v>
      </c>
      <c r="B255" s="24" t="e">
        <f>VLOOKUP($A255,MINASA!$A$1:$BA$1000,10,FALSE)</f>
        <v>#N/A</v>
      </c>
      <c r="C255" s="20" t="e">
        <f t="shared" si="6"/>
        <v>#N/A</v>
      </c>
      <c r="D255" s="20" t="e">
        <f>VLOOKUP($A255,MINASA!$A$1:$BA$1000,27,FALSE)</f>
        <v>#N/A</v>
      </c>
      <c r="E255" s="20" t="e">
        <f>VLOOKUP($A255,MINASA!$A$1:$BA$1000,26,FALSE)</f>
        <v>#N/A</v>
      </c>
      <c r="F255" s="21" t="e">
        <f>VLOOKUP($A255,MINASA!$A$1:$BA$1000,30,FALSE)</f>
        <v>#N/A</v>
      </c>
      <c r="G255" s="20" t="e">
        <f>VLOOKUP($A255,MINASA!$A$1:$BA$1000,31,FALSE)</f>
        <v>#N/A</v>
      </c>
      <c r="H255" s="20" t="e">
        <f>VLOOKUP($A255,MINASA!$A$1:$BA$1000,47,FALSE)</f>
        <v>#N/A</v>
      </c>
      <c r="I255" s="21" t="e">
        <f>VLOOKUP($A255,MINASA!$A$1:$BA$1000,52,FALSE)</f>
        <v>#N/A</v>
      </c>
      <c r="J255" s="21" t="e">
        <f>VLOOKUP($A255,MINASA!$A$1:$BA$1000,53,FALSE)</f>
        <v>#N/A</v>
      </c>
      <c r="L255" s="20" t="s">
        <v>14</v>
      </c>
      <c r="M255" s="20" t="e">
        <f t="shared" si="7"/>
        <v>#N/A</v>
      </c>
      <c r="N255" s="20" t="s">
        <v>375</v>
      </c>
    </row>
    <row r="256" spans="1:14" ht="81.75" customHeight="1" thickBot="1">
      <c r="A256" s="20">
        <v>255</v>
      </c>
      <c r="B256" s="24" t="e">
        <f>VLOOKUP($A256,MINASA!$A$1:$BA$1000,10,FALSE)</f>
        <v>#N/A</v>
      </c>
      <c r="C256" s="20" t="e">
        <f t="shared" si="6"/>
        <v>#N/A</v>
      </c>
      <c r="D256" s="20" t="e">
        <f>VLOOKUP($A256,MINASA!$A$1:$BA$1000,27,FALSE)</f>
        <v>#N/A</v>
      </c>
      <c r="E256" s="20" t="e">
        <f>VLOOKUP($A256,MINASA!$A$1:$BA$1000,26,FALSE)</f>
        <v>#N/A</v>
      </c>
      <c r="F256" s="21" t="e">
        <f>VLOOKUP($A256,MINASA!$A$1:$BA$1000,30,FALSE)</f>
        <v>#N/A</v>
      </c>
      <c r="G256" s="20" t="e">
        <f>VLOOKUP($A256,MINASA!$A$1:$BA$1000,31,FALSE)</f>
        <v>#N/A</v>
      </c>
      <c r="H256" s="20" t="e">
        <f>VLOOKUP($A256,MINASA!$A$1:$BA$1000,47,FALSE)</f>
        <v>#N/A</v>
      </c>
      <c r="I256" s="21" t="e">
        <f>VLOOKUP($A256,MINASA!$A$1:$BA$1000,52,FALSE)</f>
        <v>#N/A</v>
      </c>
      <c r="J256" s="21" t="e">
        <f>VLOOKUP($A256,MINASA!$A$1:$BA$1000,53,FALSE)</f>
        <v>#N/A</v>
      </c>
      <c r="L256" s="20" t="s">
        <v>14</v>
      </c>
      <c r="M256" s="20" t="e">
        <f t="shared" si="7"/>
        <v>#N/A</v>
      </c>
      <c r="N256" s="20" t="s">
        <v>376</v>
      </c>
    </row>
    <row r="257" spans="1:14" ht="81.75" customHeight="1" thickBot="1">
      <c r="A257" s="20">
        <v>256</v>
      </c>
      <c r="B257" s="24" t="e">
        <f>VLOOKUP($A257,MINASA!$A$1:$BA$1000,10,FALSE)</f>
        <v>#N/A</v>
      </c>
      <c r="C257" s="20" t="e">
        <f t="shared" si="6"/>
        <v>#N/A</v>
      </c>
      <c r="D257" s="20" t="e">
        <f>VLOOKUP($A257,MINASA!$A$1:$BA$1000,27,FALSE)</f>
        <v>#N/A</v>
      </c>
      <c r="E257" s="20" t="e">
        <f>VLOOKUP($A257,MINASA!$A$1:$BA$1000,26,FALSE)</f>
        <v>#N/A</v>
      </c>
      <c r="F257" s="21" t="e">
        <f>VLOOKUP($A257,MINASA!$A$1:$BA$1000,30,FALSE)</f>
        <v>#N/A</v>
      </c>
      <c r="G257" s="20" t="e">
        <f>VLOOKUP($A257,MINASA!$A$1:$BA$1000,31,FALSE)</f>
        <v>#N/A</v>
      </c>
      <c r="H257" s="20" t="e">
        <f>VLOOKUP($A257,MINASA!$A$1:$BA$1000,47,FALSE)</f>
        <v>#N/A</v>
      </c>
      <c r="I257" s="21" t="e">
        <f>VLOOKUP($A257,MINASA!$A$1:$BA$1000,52,FALSE)</f>
        <v>#N/A</v>
      </c>
      <c r="J257" s="21" t="e">
        <f>VLOOKUP($A257,MINASA!$A$1:$BA$1000,53,FALSE)</f>
        <v>#N/A</v>
      </c>
      <c r="L257" s="20" t="s">
        <v>14</v>
      </c>
      <c r="M257" s="20" t="e">
        <f t="shared" si="7"/>
        <v>#N/A</v>
      </c>
      <c r="N257" s="20" t="s">
        <v>377</v>
      </c>
    </row>
    <row r="258" spans="1:14" ht="81.75" customHeight="1" thickBot="1">
      <c r="A258" s="20">
        <v>257</v>
      </c>
      <c r="B258" s="24" t="e">
        <f>VLOOKUP($A258,MINASA!$A$1:$BA$1000,10,FALSE)</f>
        <v>#N/A</v>
      </c>
      <c r="C258" s="20" t="e">
        <f t="shared" si="6"/>
        <v>#N/A</v>
      </c>
      <c r="D258" s="20" t="e">
        <f>VLOOKUP($A258,MINASA!$A$1:$BA$1000,27,FALSE)</f>
        <v>#N/A</v>
      </c>
      <c r="E258" s="20" t="e">
        <f>VLOOKUP($A258,MINASA!$A$1:$BA$1000,26,FALSE)</f>
        <v>#N/A</v>
      </c>
      <c r="F258" s="21" t="e">
        <f>VLOOKUP($A258,MINASA!$A$1:$BA$1000,30,FALSE)</f>
        <v>#N/A</v>
      </c>
      <c r="G258" s="20" t="e">
        <f>VLOOKUP($A258,MINASA!$A$1:$BA$1000,31,FALSE)</f>
        <v>#N/A</v>
      </c>
      <c r="H258" s="20" t="e">
        <f>VLOOKUP($A258,MINASA!$A$1:$BA$1000,47,FALSE)</f>
        <v>#N/A</v>
      </c>
      <c r="I258" s="21" t="e">
        <f>VLOOKUP($A258,MINASA!$A$1:$BA$1000,52,FALSE)</f>
        <v>#N/A</v>
      </c>
      <c r="J258" s="21" t="e">
        <f>VLOOKUP($A258,MINASA!$A$1:$BA$1000,53,FALSE)</f>
        <v>#N/A</v>
      </c>
      <c r="L258" s="20" t="s">
        <v>14</v>
      </c>
      <c r="M258" s="20" t="e">
        <f t="shared" si="7"/>
        <v>#N/A</v>
      </c>
      <c r="N258" s="20" t="s">
        <v>378</v>
      </c>
    </row>
    <row r="259" spans="1:14" ht="81.75" customHeight="1" thickBot="1">
      <c r="A259" s="20">
        <v>258</v>
      </c>
      <c r="B259" s="24" t="e">
        <f>VLOOKUP($A259,MINASA!$A$1:$BA$1000,10,FALSE)</f>
        <v>#N/A</v>
      </c>
      <c r="C259" s="20" t="e">
        <f t="shared" si="6"/>
        <v>#N/A</v>
      </c>
      <c r="D259" s="20" t="e">
        <f>VLOOKUP($A259,MINASA!$A$1:$BA$1000,27,FALSE)</f>
        <v>#N/A</v>
      </c>
      <c r="E259" s="20" t="e">
        <f>VLOOKUP($A259,MINASA!$A$1:$BA$1000,26,FALSE)</f>
        <v>#N/A</v>
      </c>
      <c r="F259" s="21" t="e">
        <f>VLOOKUP($A259,MINASA!$A$1:$BA$1000,30,FALSE)</f>
        <v>#N/A</v>
      </c>
      <c r="G259" s="20" t="e">
        <f>VLOOKUP($A259,MINASA!$A$1:$BA$1000,31,FALSE)</f>
        <v>#N/A</v>
      </c>
      <c r="H259" s="20" t="e">
        <f>VLOOKUP($A259,MINASA!$A$1:$BA$1000,47,FALSE)</f>
        <v>#N/A</v>
      </c>
      <c r="I259" s="21" t="e">
        <f>VLOOKUP($A259,MINASA!$A$1:$BA$1000,52,FALSE)</f>
        <v>#N/A</v>
      </c>
      <c r="J259" s="21" t="e">
        <f>VLOOKUP($A259,MINASA!$A$1:$BA$1000,53,FALSE)</f>
        <v>#N/A</v>
      </c>
      <c r="L259" s="20" t="s">
        <v>14</v>
      </c>
      <c r="M259" s="20" t="e">
        <f t="shared" si="7"/>
        <v>#N/A</v>
      </c>
      <c r="N259" s="20" t="s">
        <v>379</v>
      </c>
    </row>
    <row r="260" spans="1:14" ht="81.75" customHeight="1" thickBot="1">
      <c r="A260" s="20">
        <v>259</v>
      </c>
      <c r="B260" s="24" t="e">
        <f>VLOOKUP($A260,MINASA!$A$1:$BA$1000,10,FALSE)</f>
        <v>#N/A</v>
      </c>
      <c r="C260" s="20" t="e">
        <f t="shared" si="6"/>
        <v>#N/A</v>
      </c>
      <c r="D260" s="20" t="e">
        <f>VLOOKUP($A260,MINASA!$A$1:$BA$1000,27,FALSE)</f>
        <v>#N/A</v>
      </c>
      <c r="E260" s="20" t="e">
        <f>VLOOKUP($A260,MINASA!$A$1:$BA$1000,26,FALSE)</f>
        <v>#N/A</v>
      </c>
      <c r="F260" s="21" t="e">
        <f>VLOOKUP($A260,MINASA!$A$1:$BA$1000,30,FALSE)</f>
        <v>#N/A</v>
      </c>
      <c r="G260" s="20" t="e">
        <f>VLOOKUP($A260,MINASA!$A$1:$BA$1000,31,FALSE)</f>
        <v>#N/A</v>
      </c>
      <c r="H260" s="20" t="e">
        <f>VLOOKUP($A260,MINASA!$A$1:$BA$1000,47,FALSE)</f>
        <v>#N/A</v>
      </c>
      <c r="I260" s="21" t="e">
        <f>VLOOKUP($A260,MINASA!$A$1:$BA$1000,52,FALSE)</f>
        <v>#N/A</v>
      </c>
      <c r="J260" s="21" t="e">
        <f>VLOOKUP($A260,MINASA!$A$1:$BA$1000,53,FALSE)</f>
        <v>#N/A</v>
      </c>
      <c r="L260" s="20" t="s">
        <v>14</v>
      </c>
      <c r="M260" s="20" t="e">
        <f t="shared" si="7"/>
        <v>#N/A</v>
      </c>
      <c r="N260" s="20" t="s">
        <v>380</v>
      </c>
    </row>
    <row r="261" spans="1:14" ht="81.75" customHeight="1" thickBot="1">
      <c r="A261" s="20">
        <v>260</v>
      </c>
      <c r="B261" s="24" t="e">
        <f>VLOOKUP($A261,MINASA!$A$1:$BA$1000,10,FALSE)</f>
        <v>#N/A</v>
      </c>
      <c r="C261" s="20" t="e">
        <f t="shared" ref="C261:C267" si="8">LEFT(B261,8)</f>
        <v>#N/A</v>
      </c>
      <c r="D261" s="20" t="e">
        <f>VLOOKUP($A261,MINASA!$A$1:$BA$1000,27,FALSE)</f>
        <v>#N/A</v>
      </c>
      <c r="E261" s="20" t="e">
        <f>VLOOKUP($A261,MINASA!$A$1:$BA$1000,26,FALSE)</f>
        <v>#N/A</v>
      </c>
      <c r="F261" s="21" t="e">
        <f>VLOOKUP($A261,MINASA!$A$1:$BA$1000,30,FALSE)</f>
        <v>#N/A</v>
      </c>
      <c r="G261" s="20" t="e">
        <f>VLOOKUP($A261,MINASA!$A$1:$BA$1000,31,FALSE)</f>
        <v>#N/A</v>
      </c>
      <c r="H261" s="20" t="e">
        <f>VLOOKUP($A261,MINASA!$A$1:$BA$1000,47,FALSE)</f>
        <v>#N/A</v>
      </c>
      <c r="I261" s="21" t="e">
        <f>VLOOKUP($A261,MINASA!$A$1:$BA$1000,52,FALSE)</f>
        <v>#N/A</v>
      </c>
      <c r="J261" s="21" t="e">
        <f>VLOOKUP($A261,MINASA!$A$1:$BA$1000,53,FALSE)</f>
        <v>#N/A</v>
      </c>
      <c r="L261" s="20" t="s">
        <v>14</v>
      </c>
      <c r="M261" s="20" t="e">
        <f t="shared" si="7"/>
        <v>#N/A</v>
      </c>
      <c r="N261" s="20" t="s">
        <v>381</v>
      </c>
    </row>
    <row r="262" spans="1:14" ht="81.75" customHeight="1" thickBot="1">
      <c r="A262" s="20">
        <v>261</v>
      </c>
      <c r="B262" s="24" t="e">
        <f>VLOOKUP($A262,MINASA!$A$1:$BA$1000,10,FALSE)</f>
        <v>#N/A</v>
      </c>
      <c r="C262" s="20" t="e">
        <f t="shared" si="8"/>
        <v>#N/A</v>
      </c>
      <c r="D262" s="20" t="e">
        <f>VLOOKUP($A262,MINASA!$A$1:$BA$1000,27,FALSE)</f>
        <v>#N/A</v>
      </c>
      <c r="E262" s="20" t="e">
        <f>VLOOKUP($A262,MINASA!$A$1:$BA$1000,26,FALSE)</f>
        <v>#N/A</v>
      </c>
      <c r="F262" s="21" t="e">
        <f>VLOOKUP($A262,MINASA!$A$1:$BA$1000,30,FALSE)</f>
        <v>#N/A</v>
      </c>
      <c r="G262" s="20" t="e">
        <f>VLOOKUP($A262,MINASA!$A$1:$BA$1000,31,FALSE)</f>
        <v>#N/A</v>
      </c>
      <c r="H262" s="20" t="e">
        <f>VLOOKUP($A262,MINASA!$A$1:$BA$1000,47,FALSE)</f>
        <v>#N/A</v>
      </c>
      <c r="I262" s="21" t="e">
        <f>VLOOKUP($A262,MINASA!$A$1:$BA$1000,52,FALSE)</f>
        <v>#N/A</v>
      </c>
      <c r="J262" s="21" t="e">
        <f>VLOOKUP($A262,MINASA!$A$1:$BA$1000,53,FALSE)</f>
        <v>#N/A</v>
      </c>
      <c r="L262" s="20" t="s">
        <v>14</v>
      </c>
      <c r="M262" s="20" t="e">
        <f t="shared" si="7"/>
        <v>#N/A</v>
      </c>
      <c r="N262" s="20" t="s">
        <v>382</v>
      </c>
    </row>
    <row r="263" spans="1:14" ht="81.75" customHeight="1" thickBot="1">
      <c r="A263" s="20">
        <v>262</v>
      </c>
      <c r="B263" s="24" t="e">
        <f>VLOOKUP($A263,MINASA!$A$1:$BA$1000,10,FALSE)</f>
        <v>#N/A</v>
      </c>
      <c r="C263" s="20" t="e">
        <f t="shared" si="8"/>
        <v>#N/A</v>
      </c>
      <c r="D263" s="20" t="e">
        <f>VLOOKUP($A263,MINASA!$A$1:$BA$1000,27,FALSE)</f>
        <v>#N/A</v>
      </c>
      <c r="E263" s="20" t="e">
        <f>VLOOKUP($A263,MINASA!$A$1:$BA$1000,26,FALSE)</f>
        <v>#N/A</v>
      </c>
      <c r="F263" s="21" t="e">
        <f>VLOOKUP($A263,MINASA!$A$1:$BA$1000,30,FALSE)</f>
        <v>#N/A</v>
      </c>
      <c r="G263" s="20" t="e">
        <f>VLOOKUP($A263,MINASA!$A$1:$BA$1000,31,FALSE)</f>
        <v>#N/A</v>
      </c>
      <c r="H263" s="20" t="e">
        <f>VLOOKUP($A263,MINASA!$A$1:$BA$1000,47,FALSE)</f>
        <v>#N/A</v>
      </c>
      <c r="I263" s="21" t="e">
        <f>VLOOKUP($A263,MINASA!$A$1:$BA$1000,52,FALSE)</f>
        <v>#N/A</v>
      </c>
      <c r="J263" s="21" t="e">
        <f>VLOOKUP($A263,MINASA!$A$1:$BA$1000,53,FALSE)</f>
        <v>#N/A</v>
      </c>
      <c r="L263" s="20" t="s">
        <v>14</v>
      </c>
      <c r="M263" s="20" t="e">
        <f t="shared" si="7"/>
        <v>#N/A</v>
      </c>
      <c r="N263" s="20" t="s">
        <v>383</v>
      </c>
    </row>
    <row r="264" spans="1:14" ht="81.75" customHeight="1" thickBot="1">
      <c r="A264" s="20">
        <v>263</v>
      </c>
      <c r="B264" s="24" t="e">
        <f>VLOOKUP($A264,MINASA!$A$1:$BA$1000,10,FALSE)</f>
        <v>#N/A</v>
      </c>
      <c r="C264" s="20" t="e">
        <f t="shared" si="8"/>
        <v>#N/A</v>
      </c>
      <c r="D264" s="20" t="e">
        <f>VLOOKUP($A264,MINASA!$A$1:$BA$1000,27,FALSE)</f>
        <v>#N/A</v>
      </c>
      <c r="E264" s="20" t="e">
        <f>VLOOKUP($A264,MINASA!$A$1:$BA$1000,26,FALSE)</f>
        <v>#N/A</v>
      </c>
      <c r="F264" s="21" t="e">
        <f>VLOOKUP($A264,MINASA!$A$1:$BA$1000,30,FALSE)</f>
        <v>#N/A</v>
      </c>
      <c r="G264" s="20" t="e">
        <f>VLOOKUP($A264,MINASA!$A$1:$BA$1000,31,FALSE)</f>
        <v>#N/A</v>
      </c>
      <c r="H264" s="20" t="e">
        <f>VLOOKUP($A264,MINASA!$A$1:$BA$1000,47,FALSE)</f>
        <v>#N/A</v>
      </c>
      <c r="I264" s="21" t="e">
        <f>VLOOKUP($A264,MINASA!$A$1:$BA$1000,52,FALSE)</f>
        <v>#N/A</v>
      </c>
      <c r="J264" s="21" t="e">
        <f>VLOOKUP($A264,MINASA!$A$1:$BA$1000,53,FALSE)</f>
        <v>#N/A</v>
      </c>
      <c r="L264" s="20" t="s">
        <v>14</v>
      </c>
      <c r="M264" s="20" t="e">
        <f t="shared" si="7"/>
        <v>#N/A</v>
      </c>
      <c r="N264" s="20" t="s">
        <v>384</v>
      </c>
    </row>
    <row r="265" spans="1:14" ht="81.75" customHeight="1" thickBot="1">
      <c r="A265" s="20">
        <v>264</v>
      </c>
      <c r="B265" s="24" t="e">
        <f>VLOOKUP($A265,MINASA!$A$1:$BA$1000,10,FALSE)</f>
        <v>#N/A</v>
      </c>
      <c r="C265" s="20" t="e">
        <f t="shared" si="8"/>
        <v>#N/A</v>
      </c>
      <c r="D265" s="20" t="e">
        <f>VLOOKUP($A265,MINASA!$A$1:$BA$1000,27,FALSE)</f>
        <v>#N/A</v>
      </c>
      <c r="E265" s="20" t="e">
        <f>VLOOKUP($A265,MINASA!$A$1:$BA$1000,26,FALSE)</f>
        <v>#N/A</v>
      </c>
      <c r="F265" s="21" t="e">
        <f>VLOOKUP($A265,MINASA!$A$1:$BA$1000,30,FALSE)</f>
        <v>#N/A</v>
      </c>
      <c r="G265" s="20" t="e">
        <f>VLOOKUP($A265,MINASA!$A$1:$BA$1000,31,FALSE)</f>
        <v>#N/A</v>
      </c>
      <c r="H265" s="20" t="e">
        <f>VLOOKUP($A265,MINASA!$A$1:$BA$1000,47,FALSE)</f>
        <v>#N/A</v>
      </c>
      <c r="I265" s="21" t="e">
        <f>VLOOKUP($A265,MINASA!$A$1:$BA$1000,52,FALSE)</f>
        <v>#N/A</v>
      </c>
      <c r="J265" s="21" t="e">
        <f>VLOOKUP($A265,MINASA!$A$1:$BA$1000,53,FALSE)</f>
        <v>#N/A</v>
      </c>
      <c r="L265" s="20" t="s">
        <v>14</v>
      </c>
      <c r="M265" s="20" t="e">
        <f t="shared" si="7"/>
        <v>#N/A</v>
      </c>
      <c r="N265" s="20" t="s">
        <v>385</v>
      </c>
    </row>
    <row r="266" spans="1:14" ht="81.75" customHeight="1" thickBot="1">
      <c r="A266" s="20">
        <v>265</v>
      </c>
      <c r="B266" s="24" t="e">
        <f>VLOOKUP($A266,MINASA!$A$1:$BA$1000,10,FALSE)</f>
        <v>#N/A</v>
      </c>
      <c r="C266" s="20" t="e">
        <f t="shared" si="8"/>
        <v>#N/A</v>
      </c>
      <c r="D266" s="20" t="e">
        <f>VLOOKUP($A266,MINASA!$A$1:$BA$1000,27,FALSE)</f>
        <v>#N/A</v>
      </c>
      <c r="E266" s="20" t="e">
        <f>VLOOKUP($A266,MINASA!$A$1:$BA$1000,26,FALSE)</f>
        <v>#N/A</v>
      </c>
      <c r="F266" s="21" t="e">
        <f>VLOOKUP($A266,MINASA!$A$1:$BA$1000,30,FALSE)</f>
        <v>#N/A</v>
      </c>
      <c r="G266" s="20" t="e">
        <f>VLOOKUP($A266,MINASA!$A$1:$BA$1000,31,FALSE)</f>
        <v>#N/A</v>
      </c>
      <c r="H266" s="20" t="e">
        <f>VLOOKUP($A266,MINASA!$A$1:$BA$1000,47,FALSE)</f>
        <v>#N/A</v>
      </c>
      <c r="I266" s="21" t="e">
        <f>VLOOKUP($A266,MINASA!$A$1:$BA$1000,52,FALSE)</f>
        <v>#N/A</v>
      </c>
      <c r="J266" s="21" t="e">
        <f>VLOOKUP($A266,MINASA!$A$1:$BA$1000,53,FALSE)</f>
        <v>#N/A</v>
      </c>
      <c r="L266" s="20" t="s">
        <v>14</v>
      </c>
      <c r="M266" s="20" t="e">
        <f t="shared" si="7"/>
        <v>#N/A</v>
      </c>
      <c r="N266" s="20" t="s">
        <v>386</v>
      </c>
    </row>
    <row r="267" spans="1:14" ht="81.75" customHeight="1" thickBot="1">
      <c r="A267" s="20">
        <v>266</v>
      </c>
      <c r="B267" s="24" t="e">
        <f>VLOOKUP($A267,MINASA!$A$1:$BA$1000,10,FALSE)</f>
        <v>#N/A</v>
      </c>
      <c r="C267" s="20" t="e">
        <f t="shared" si="8"/>
        <v>#N/A</v>
      </c>
      <c r="D267" s="20" t="e">
        <f>VLOOKUP($A267,MINASA!$A$1:$BA$1000,27,FALSE)</f>
        <v>#N/A</v>
      </c>
      <c r="E267" s="20" t="e">
        <f>VLOOKUP($A267,MINASA!$A$1:$BA$1000,26,FALSE)</f>
        <v>#N/A</v>
      </c>
      <c r="F267" s="21" t="e">
        <f>VLOOKUP($A267,MINASA!$A$1:$BA$1000,30,FALSE)</f>
        <v>#N/A</v>
      </c>
      <c r="G267" s="20" t="e">
        <f>VLOOKUP($A267,MINASA!$A$1:$BA$1000,31,FALSE)</f>
        <v>#N/A</v>
      </c>
      <c r="H267" s="20" t="e">
        <f>VLOOKUP($A267,MINASA!$A$1:$BA$1000,47,FALSE)</f>
        <v>#N/A</v>
      </c>
      <c r="I267" s="21" t="e">
        <f>VLOOKUP($A267,MINASA!$A$1:$BA$1000,52,FALSE)</f>
        <v>#N/A</v>
      </c>
      <c r="J267" s="21" t="e">
        <f>VLOOKUP($A267,MINASA!$A$1:$BA$1000,53,FALSE)</f>
        <v>#N/A</v>
      </c>
      <c r="L267" s="20" t="s">
        <v>14</v>
      </c>
      <c r="M267" s="20" t="e">
        <f t="shared" si="7"/>
        <v>#N/A</v>
      </c>
      <c r="N267" s="20" t="s">
        <v>387</v>
      </c>
    </row>
    <row r="268" spans="1:14" ht="81.75" customHeight="1" thickBot="1">
      <c r="A268" s="20">
        <v>267</v>
      </c>
      <c r="B268" s="24" t="e">
        <f>VLOOKUP($A268,MINASA!$A$1:$BA$1000,10,FALSE)</f>
        <v>#N/A</v>
      </c>
      <c r="C268" s="20" t="e">
        <f t="shared" ref="C268:C270" si="9">LEFT(B268,8)</f>
        <v>#N/A</v>
      </c>
      <c r="D268" s="20" t="e">
        <f>VLOOKUP($A268,MINASA!$A$1:$BA$1000,27,FALSE)</f>
        <v>#N/A</v>
      </c>
      <c r="E268" s="20" t="e">
        <f>VLOOKUP($A268,MINASA!$A$1:$BA$1000,26,FALSE)</f>
        <v>#N/A</v>
      </c>
      <c r="F268" s="21" t="e">
        <f>VLOOKUP($A268,MINASA!$A$1:$BA$1000,30,FALSE)</f>
        <v>#N/A</v>
      </c>
      <c r="G268" s="20" t="e">
        <f>VLOOKUP($A268,MINASA!$A$1:$BA$1000,31,FALSE)</f>
        <v>#N/A</v>
      </c>
      <c r="H268" s="20" t="e">
        <f>VLOOKUP($A268,MINASA!$A$1:$BA$1000,47,FALSE)</f>
        <v>#N/A</v>
      </c>
      <c r="I268" s="21" t="e">
        <f>VLOOKUP($A268,MINASA!$A$1:$BA$1000,52,FALSE)</f>
        <v>#N/A</v>
      </c>
      <c r="J268" s="21" t="e">
        <f>VLOOKUP($A268,MINASA!$A$1:$BA$1000,53,FALSE)</f>
        <v>#N/A</v>
      </c>
      <c r="L268" s="20" t="s">
        <v>14</v>
      </c>
      <c r="M268" s="20" t="e">
        <f t="shared" si="7"/>
        <v>#N/A</v>
      </c>
      <c r="N268" s="20" t="s">
        <v>388</v>
      </c>
    </row>
    <row r="269" spans="1:14" ht="81.75" customHeight="1" thickBot="1">
      <c r="A269" s="20">
        <v>268</v>
      </c>
      <c r="B269" s="24" t="e">
        <f>VLOOKUP($A269,MINASA!$A$1:$BA$1000,10,FALSE)</f>
        <v>#N/A</v>
      </c>
      <c r="C269" s="20" t="e">
        <f t="shared" si="9"/>
        <v>#N/A</v>
      </c>
      <c r="D269" s="20" t="e">
        <f>VLOOKUP($A269,MINASA!$A$1:$BA$1000,27,FALSE)</f>
        <v>#N/A</v>
      </c>
      <c r="E269" s="20" t="e">
        <f>VLOOKUP($A269,MINASA!$A$1:$BA$1000,26,FALSE)</f>
        <v>#N/A</v>
      </c>
      <c r="F269" s="21" t="e">
        <f>VLOOKUP($A269,MINASA!$A$1:$BA$1000,30,FALSE)</f>
        <v>#N/A</v>
      </c>
      <c r="G269" s="20" t="e">
        <f>VLOOKUP($A269,MINASA!$A$1:$BA$1000,31,FALSE)</f>
        <v>#N/A</v>
      </c>
      <c r="H269" s="20" t="e">
        <f>VLOOKUP($A269,MINASA!$A$1:$BA$1000,47,FALSE)</f>
        <v>#N/A</v>
      </c>
      <c r="I269" s="21" t="e">
        <f>VLOOKUP($A269,MINASA!$A$1:$BA$1000,52,FALSE)</f>
        <v>#N/A</v>
      </c>
      <c r="J269" s="21" t="e">
        <f>VLOOKUP($A269,MINASA!$A$1:$BA$1000,53,FALSE)</f>
        <v>#N/A</v>
      </c>
      <c r="L269" s="20" t="s">
        <v>14</v>
      </c>
      <c r="M269" s="20" t="e">
        <f t="shared" si="7"/>
        <v>#N/A</v>
      </c>
      <c r="N269" s="20" t="s">
        <v>389</v>
      </c>
    </row>
    <row r="270" spans="1:14" ht="81.75" customHeight="1" thickBot="1">
      <c r="A270" s="20">
        <v>269</v>
      </c>
      <c r="B270" s="24" t="e">
        <f>VLOOKUP($A270,MINASA!$A$1:$BA$1000,10,FALSE)</f>
        <v>#N/A</v>
      </c>
      <c r="C270" s="20" t="e">
        <f t="shared" si="9"/>
        <v>#N/A</v>
      </c>
      <c r="D270" s="20" t="e">
        <f>VLOOKUP($A270,MINASA!$A$1:$BA$1000,27,FALSE)</f>
        <v>#N/A</v>
      </c>
      <c r="E270" s="20" t="e">
        <f>VLOOKUP($A270,MINASA!$A$1:$BA$1000,26,FALSE)</f>
        <v>#N/A</v>
      </c>
      <c r="F270" s="21" t="e">
        <f>VLOOKUP($A270,MINASA!$A$1:$BA$1000,30,FALSE)</f>
        <v>#N/A</v>
      </c>
      <c r="G270" s="20" t="e">
        <f>VLOOKUP($A270,MINASA!$A$1:$BA$1000,31,FALSE)</f>
        <v>#N/A</v>
      </c>
      <c r="H270" s="20" t="e">
        <f>VLOOKUP($A270,MINASA!$A$1:$BA$1000,47,FALSE)</f>
        <v>#N/A</v>
      </c>
      <c r="I270" s="21" t="e">
        <f>VLOOKUP($A270,MINASA!$A$1:$BA$1000,52,FALSE)</f>
        <v>#N/A</v>
      </c>
      <c r="J270" s="21" t="e">
        <f>VLOOKUP($A270,MINASA!$A$1:$BA$1000,53,FALSE)</f>
        <v>#N/A</v>
      </c>
      <c r="L270" s="20" t="s">
        <v>14</v>
      </c>
      <c r="M270" s="20" t="e">
        <f t="shared" si="7"/>
        <v>#N/A</v>
      </c>
      <c r="N270" s="20" t="s">
        <v>390</v>
      </c>
    </row>
    <row r="271" spans="1:14" ht="81.75" customHeight="1" thickBot="1">
      <c r="A271" s="20">
        <v>270</v>
      </c>
      <c r="B271" s="24" t="e">
        <f>VLOOKUP($A271,MINASA!$A$1:$BA$1000,10,FALSE)</f>
        <v>#N/A</v>
      </c>
      <c r="C271" s="20" t="e">
        <f t="shared" ref="C271:C296" si="10">LEFT(B271,8)</f>
        <v>#N/A</v>
      </c>
      <c r="D271" s="20" t="e">
        <f>VLOOKUP($A271,MINASA!$A$1:$BA$1000,27,FALSE)</f>
        <v>#N/A</v>
      </c>
      <c r="E271" s="20" t="e">
        <f>VLOOKUP($A271,MINASA!$A$1:$BA$1000,26,FALSE)</f>
        <v>#N/A</v>
      </c>
      <c r="F271" s="21" t="e">
        <f>VLOOKUP($A271,MINASA!$A$1:$BA$1000,30,FALSE)</f>
        <v>#N/A</v>
      </c>
      <c r="G271" s="20" t="e">
        <f>VLOOKUP($A271,MINASA!$A$1:$BA$1000,31,FALSE)</f>
        <v>#N/A</v>
      </c>
      <c r="H271" s="20" t="e">
        <f>VLOOKUP($A271,MINASA!$A$1:$BA$1000,47,FALSE)</f>
        <v>#N/A</v>
      </c>
      <c r="I271" s="21" t="e">
        <f>VLOOKUP($A271,MINASA!$A$1:$BA$1000,52,FALSE)</f>
        <v>#N/A</v>
      </c>
      <c r="J271" s="21" t="e">
        <f>VLOOKUP($A271,MINASA!$A$1:$BA$1000,53,FALSE)</f>
        <v>#N/A</v>
      </c>
      <c r="L271" s="20" t="s">
        <v>14</v>
      </c>
      <c r="M271" s="20" t="e">
        <f t="shared" si="7"/>
        <v>#N/A</v>
      </c>
      <c r="N271" s="20" t="s">
        <v>391</v>
      </c>
    </row>
    <row r="272" spans="1:14" ht="81.75" customHeight="1" thickBot="1">
      <c r="A272" s="20">
        <v>271</v>
      </c>
      <c r="B272" s="24" t="e">
        <f>VLOOKUP($A272,MINASA!$A$1:$BA$1000,10,FALSE)</f>
        <v>#N/A</v>
      </c>
      <c r="C272" s="20" t="e">
        <f t="shared" si="10"/>
        <v>#N/A</v>
      </c>
      <c r="D272" s="20" t="e">
        <f>VLOOKUP($A272,MINASA!$A$1:$BA$1000,27,FALSE)</f>
        <v>#N/A</v>
      </c>
      <c r="E272" s="20" t="e">
        <f>VLOOKUP($A272,MINASA!$A$1:$BA$1000,26,FALSE)</f>
        <v>#N/A</v>
      </c>
      <c r="F272" s="21" t="e">
        <f>VLOOKUP($A272,MINASA!$A$1:$BA$1000,30,FALSE)</f>
        <v>#N/A</v>
      </c>
      <c r="G272" s="20" t="e">
        <f>VLOOKUP($A272,MINASA!$A$1:$BA$1000,31,FALSE)</f>
        <v>#N/A</v>
      </c>
      <c r="H272" s="20" t="e">
        <f>VLOOKUP($A272,MINASA!$A$1:$BA$1000,47,FALSE)</f>
        <v>#N/A</v>
      </c>
      <c r="I272" s="21" t="e">
        <f>VLOOKUP($A272,MINASA!$A$1:$BA$1000,52,FALSE)</f>
        <v>#N/A</v>
      </c>
      <c r="J272" s="21" t="e">
        <f>VLOOKUP($A272,MINASA!$A$1:$BA$1000,53,FALSE)</f>
        <v>#N/A</v>
      </c>
      <c r="L272" s="20" t="s">
        <v>14</v>
      </c>
      <c r="M272" s="20" t="e">
        <f t="shared" si="7"/>
        <v>#N/A</v>
      </c>
      <c r="N272" s="20" t="s">
        <v>392</v>
      </c>
    </row>
    <row r="273" spans="1:14" ht="81.75" customHeight="1" thickBot="1">
      <c r="A273" s="20">
        <v>272</v>
      </c>
      <c r="B273" s="24" t="e">
        <f>VLOOKUP($A273,MINASA!$A$1:$BA$1000,10,FALSE)</f>
        <v>#N/A</v>
      </c>
      <c r="C273" s="20" t="e">
        <f t="shared" si="10"/>
        <v>#N/A</v>
      </c>
      <c r="D273" s="20" t="e">
        <f>VLOOKUP($A273,MINASA!$A$1:$BA$1000,27,FALSE)</f>
        <v>#N/A</v>
      </c>
      <c r="E273" s="20" t="e">
        <f>VLOOKUP($A273,MINASA!$A$1:$BA$1000,26,FALSE)</f>
        <v>#N/A</v>
      </c>
      <c r="F273" s="21" t="e">
        <f>VLOOKUP($A273,MINASA!$A$1:$BA$1000,30,FALSE)</f>
        <v>#N/A</v>
      </c>
      <c r="G273" s="20" t="e">
        <f>VLOOKUP($A273,MINASA!$A$1:$BA$1000,31,FALSE)</f>
        <v>#N/A</v>
      </c>
      <c r="H273" s="20" t="e">
        <f>VLOOKUP($A273,MINASA!$A$1:$BA$1000,47,FALSE)</f>
        <v>#N/A</v>
      </c>
      <c r="I273" s="21" t="e">
        <f>VLOOKUP($A273,MINASA!$A$1:$BA$1000,52,FALSE)</f>
        <v>#N/A</v>
      </c>
      <c r="J273" s="21" t="e">
        <f>VLOOKUP($A273,MINASA!$A$1:$BA$1000,53,FALSE)</f>
        <v>#N/A</v>
      </c>
      <c r="L273" s="20" t="s">
        <v>14</v>
      </c>
      <c r="M273" s="20" t="e">
        <f t="shared" si="7"/>
        <v>#N/A</v>
      </c>
      <c r="N273" s="20" t="s">
        <v>393</v>
      </c>
    </row>
    <row r="274" spans="1:14" ht="81.75" customHeight="1" thickBot="1">
      <c r="A274" s="20">
        <v>273</v>
      </c>
      <c r="B274" s="24" t="e">
        <f>VLOOKUP($A274,MINASA!$A$1:$BA$1000,10,FALSE)</f>
        <v>#N/A</v>
      </c>
      <c r="C274" s="20" t="e">
        <f t="shared" si="10"/>
        <v>#N/A</v>
      </c>
      <c r="D274" s="20" t="e">
        <f>VLOOKUP($A274,MINASA!$A$1:$BA$1000,27,FALSE)</f>
        <v>#N/A</v>
      </c>
      <c r="E274" s="20" t="e">
        <f>VLOOKUP($A274,MINASA!$A$1:$BA$1000,26,FALSE)</f>
        <v>#N/A</v>
      </c>
      <c r="F274" s="21" t="e">
        <f>VLOOKUP($A274,MINASA!$A$1:$BA$1000,30,FALSE)</f>
        <v>#N/A</v>
      </c>
      <c r="G274" s="20" t="e">
        <f>VLOOKUP($A274,MINASA!$A$1:$BA$1000,31,FALSE)</f>
        <v>#N/A</v>
      </c>
      <c r="H274" s="20" t="e">
        <f>VLOOKUP($A274,MINASA!$A$1:$BA$1000,47,FALSE)</f>
        <v>#N/A</v>
      </c>
      <c r="I274" s="21" t="e">
        <f>VLOOKUP($A274,MINASA!$A$1:$BA$1000,52,FALSE)</f>
        <v>#N/A</v>
      </c>
      <c r="J274" s="21" t="e">
        <f>VLOOKUP($A274,MINASA!$A$1:$BA$1000,53,FALSE)</f>
        <v>#N/A</v>
      </c>
      <c r="L274" s="20" t="s">
        <v>14</v>
      </c>
      <c r="M274" s="20" t="e">
        <f t="shared" si="7"/>
        <v>#N/A</v>
      </c>
      <c r="N274" s="20" t="s">
        <v>394</v>
      </c>
    </row>
    <row r="275" spans="1:14" ht="81.75" customHeight="1" thickBot="1">
      <c r="A275" s="20">
        <v>274</v>
      </c>
      <c r="B275" s="24" t="e">
        <f>VLOOKUP($A275,MINASA!$A$1:$BA$1000,10,FALSE)</f>
        <v>#N/A</v>
      </c>
      <c r="C275" s="20" t="e">
        <f t="shared" si="10"/>
        <v>#N/A</v>
      </c>
      <c r="D275" s="20" t="e">
        <f>VLOOKUP($A275,MINASA!$A$1:$BA$1000,27,FALSE)</f>
        <v>#N/A</v>
      </c>
      <c r="E275" s="20" t="e">
        <f>VLOOKUP($A275,MINASA!$A$1:$BA$1000,26,FALSE)</f>
        <v>#N/A</v>
      </c>
      <c r="F275" s="21" t="e">
        <f>VLOOKUP($A275,MINASA!$A$1:$BA$1000,30,FALSE)</f>
        <v>#N/A</v>
      </c>
      <c r="G275" s="20" t="e">
        <f>VLOOKUP($A275,MINASA!$A$1:$BA$1000,31,FALSE)</f>
        <v>#N/A</v>
      </c>
      <c r="H275" s="20" t="e">
        <f>VLOOKUP($A275,MINASA!$A$1:$BA$1000,47,FALSE)</f>
        <v>#N/A</v>
      </c>
      <c r="I275" s="21" t="e">
        <f>VLOOKUP($A275,MINASA!$A$1:$BA$1000,52,FALSE)</f>
        <v>#N/A</v>
      </c>
      <c r="J275" s="21" t="e">
        <f>VLOOKUP($A275,MINASA!$A$1:$BA$1000,53,FALSE)</f>
        <v>#N/A</v>
      </c>
      <c r="L275" s="20" t="s">
        <v>14</v>
      </c>
      <c r="M275" s="20" t="e">
        <f t="shared" si="7"/>
        <v>#N/A</v>
      </c>
      <c r="N275" s="20" t="s">
        <v>395</v>
      </c>
    </row>
    <row r="276" spans="1:14" ht="81.75" customHeight="1" thickBot="1">
      <c r="A276" s="20">
        <v>275</v>
      </c>
      <c r="B276" s="24" t="e">
        <f>VLOOKUP($A276,MINASA!$A$1:$BA$1000,10,FALSE)</f>
        <v>#N/A</v>
      </c>
      <c r="C276" s="20" t="e">
        <f t="shared" si="10"/>
        <v>#N/A</v>
      </c>
      <c r="D276" s="20" t="e">
        <f>VLOOKUP($A276,MINASA!$A$1:$BA$1000,27,FALSE)</f>
        <v>#N/A</v>
      </c>
      <c r="E276" s="20" t="e">
        <f>VLOOKUP($A276,MINASA!$A$1:$BA$1000,26,FALSE)</f>
        <v>#N/A</v>
      </c>
      <c r="F276" s="21" t="e">
        <f>VLOOKUP($A276,MINASA!$A$1:$BA$1000,30,FALSE)</f>
        <v>#N/A</v>
      </c>
      <c r="G276" s="20" t="e">
        <f>VLOOKUP($A276,MINASA!$A$1:$BA$1000,31,FALSE)</f>
        <v>#N/A</v>
      </c>
      <c r="H276" s="20" t="e">
        <f>VLOOKUP($A276,MINASA!$A$1:$BA$1000,47,FALSE)</f>
        <v>#N/A</v>
      </c>
      <c r="I276" s="21" t="e">
        <f>VLOOKUP($A276,MINASA!$A$1:$BA$1000,52,FALSE)</f>
        <v>#N/A</v>
      </c>
      <c r="J276" s="21" t="e">
        <f>VLOOKUP($A276,MINASA!$A$1:$BA$1000,53,FALSE)</f>
        <v>#N/A</v>
      </c>
      <c r="L276" s="20" t="s">
        <v>14</v>
      </c>
      <c r="M276" s="20" t="e">
        <f t="shared" si="7"/>
        <v>#N/A</v>
      </c>
      <c r="N276" s="20" t="s">
        <v>396</v>
      </c>
    </row>
    <row r="277" spans="1:14" ht="81.75" customHeight="1" thickBot="1">
      <c r="A277" s="20">
        <v>276</v>
      </c>
      <c r="B277" s="24" t="e">
        <f>VLOOKUP($A277,MINASA!$A$1:$BA$1000,10,FALSE)</f>
        <v>#N/A</v>
      </c>
      <c r="C277" s="20" t="e">
        <f t="shared" si="10"/>
        <v>#N/A</v>
      </c>
      <c r="D277" s="20" t="e">
        <f>VLOOKUP($A277,MINASA!$A$1:$BA$1000,27,FALSE)</f>
        <v>#N/A</v>
      </c>
      <c r="E277" s="20" t="e">
        <f>VLOOKUP($A277,MINASA!$A$1:$BA$1000,26,FALSE)</f>
        <v>#N/A</v>
      </c>
      <c r="F277" s="21" t="e">
        <f>VLOOKUP($A277,MINASA!$A$1:$BA$1000,30,FALSE)</f>
        <v>#N/A</v>
      </c>
      <c r="G277" s="20" t="e">
        <f>VLOOKUP($A277,MINASA!$A$1:$BA$1000,31,FALSE)</f>
        <v>#N/A</v>
      </c>
      <c r="H277" s="20" t="e">
        <f>VLOOKUP($A277,MINASA!$A$1:$BA$1000,47,FALSE)</f>
        <v>#N/A</v>
      </c>
      <c r="I277" s="21" t="e">
        <f>VLOOKUP($A277,MINASA!$A$1:$BA$1000,52,FALSE)</f>
        <v>#N/A</v>
      </c>
      <c r="J277" s="21" t="e">
        <f>VLOOKUP($A277,MINASA!$A$1:$BA$1000,53,FALSE)</f>
        <v>#N/A</v>
      </c>
      <c r="L277" s="20" t="s">
        <v>14</v>
      </c>
      <c r="M277" s="20" t="e">
        <f t="shared" si="7"/>
        <v>#N/A</v>
      </c>
      <c r="N277" s="20" t="s">
        <v>397</v>
      </c>
    </row>
    <row r="278" spans="1:14" ht="81.75" customHeight="1" thickBot="1">
      <c r="A278" s="20">
        <v>277</v>
      </c>
      <c r="B278" s="24" t="e">
        <f>VLOOKUP($A278,MINASA!$A$1:$BA$1000,10,FALSE)</f>
        <v>#N/A</v>
      </c>
      <c r="C278" s="20" t="e">
        <f t="shared" si="10"/>
        <v>#N/A</v>
      </c>
      <c r="D278" s="20" t="e">
        <f>VLOOKUP($A278,MINASA!$A$1:$BA$1000,27,FALSE)</f>
        <v>#N/A</v>
      </c>
      <c r="E278" s="20" t="e">
        <f>VLOOKUP($A278,MINASA!$A$1:$BA$1000,26,FALSE)</f>
        <v>#N/A</v>
      </c>
      <c r="F278" s="21" t="e">
        <f>VLOOKUP($A278,MINASA!$A$1:$BA$1000,30,FALSE)</f>
        <v>#N/A</v>
      </c>
      <c r="G278" s="20" t="e">
        <f>VLOOKUP($A278,MINASA!$A$1:$BA$1000,31,FALSE)</f>
        <v>#N/A</v>
      </c>
      <c r="H278" s="20" t="e">
        <f>VLOOKUP($A278,MINASA!$A$1:$BA$1000,47,FALSE)</f>
        <v>#N/A</v>
      </c>
      <c r="I278" s="21" t="e">
        <f>VLOOKUP($A278,MINASA!$A$1:$BA$1000,52,FALSE)</f>
        <v>#N/A</v>
      </c>
      <c r="J278" s="21" t="e">
        <f>VLOOKUP($A278,MINASA!$A$1:$BA$1000,53,FALSE)</f>
        <v>#N/A</v>
      </c>
      <c r="L278" s="20" t="s">
        <v>14</v>
      </c>
      <c r="M278" s="20" t="e">
        <f t="shared" si="7"/>
        <v>#N/A</v>
      </c>
      <c r="N278" s="20" t="s">
        <v>398</v>
      </c>
    </row>
    <row r="279" spans="1:14" ht="81.75" customHeight="1" thickBot="1">
      <c r="A279" s="20">
        <v>278</v>
      </c>
      <c r="B279" s="24" t="e">
        <f>VLOOKUP($A279,MINASA!$A$1:$BA$1000,10,FALSE)</f>
        <v>#N/A</v>
      </c>
      <c r="C279" s="20" t="e">
        <f t="shared" si="10"/>
        <v>#N/A</v>
      </c>
      <c r="D279" s="20" t="e">
        <f>VLOOKUP($A279,MINASA!$A$1:$BA$1000,27,FALSE)</f>
        <v>#N/A</v>
      </c>
      <c r="E279" s="20" t="e">
        <f>VLOOKUP($A279,MINASA!$A$1:$BA$1000,26,FALSE)</f>
        <v>#N/A</v>
      </c>
      <c r="F279" s="21" t="e">
        <f>VLOOKUP($A279,MINASA!$A$1:$BA$1000,30,FALSE)</f>
        <v>#N/A</v>
      </c>
      <c r="G279" s="20" t="e">
        <f>VLOOKUP($A279,MINASA!$A$1:$BA$1000,31,FALSE)</f>
        <v>#N/A</v>
      </c>
      <c r="H279" s="20" t="e">
        <f>VLOOKUP($A279,MINASA!$A$1:$BA$1000,47,FALSE)</f>
        <v>#N/A</v>
      </c>
      <c r="I279" s="21" t="e">
        <f>VLOOKUP($A279,MINASA!$A$1:$BA$1000,52,FALSE)</f>
        <v>#N/A</v>
      </c>
      <c r="J279" s="21" t="e">
        <f>VLOOKUP($A279,MINASA!$A$1:$BA$1000,53,FALSE)</f>
        <v>#N/A</v>
      </c>
      <c r="L279" s="20" t="s">
        <v>14</v>
      </c>
      <c r="M279" s="20" t="e">
        <f t="shared" si="7"/>
        <v>#N/A</v>
      </c>
      <c r="N279" s="20" t="s">
        <v>399</v>
      </c>
    </row>
    <row r="280" spans="1:14" ht="81.75" customHeight="1" thickBot="1">
      <c r="A280" s="20">
        <v>279</v>
      </c>
      <c r="B280" s="24" t="e">
        <f>VLOOKUP($A280,MINASA!$A$1:$BA$1000,10,FALSE)</f>
        <v>#N/A</v>
      </c>
      <c r="C280" s="20" t="e">
        <f t="shared" si="10"/>
        <v>#N/A</v>
      </c>
      <c r="D280" s="20" t="e">
        <f>VLOOKUP($A280,MINASA!$A$1:$BA$1000,27,FALSE)</f>
        <v>#N/A</v>
      </c>
      <c r="E280" s="20" t="e">
        <f>VLOOKUP($A280,MINASA!$A$1:$BA$1000,26,FALSE)</f>
        <v>#N/A</v>
      </c>
      <c r="F280" s="21" t="e">
        <f>VLOOKUP($A280,MINASA!$A$1:$BA$1000,30,FALSE)</f>
        <v>#N/A</v>
      </c>
      <c r="G280" s="20" t="e">
        <f>VLOOKUP($A280,MINASA!$A$1:$BA$1000,31,FALSE)</f>
        <v>#N/A</v>
      </c>
      <c r="H280" s="20" t="e">
        <f>VLOOKUP($A280,MINASA!$A$1:$BA$1000,47,FALSE)</f>
        <v>#N/A</v>
      </c>
      <c r="I280" s="21" t="e">
        <f>VLOOKUP($A280,MINASA!$A$1:$BA$1000,52,FALSE)</f>
        <v>#N/A</v>
      </c>
      <c r="J280" s="21" t="e">
        <f>VLOOKUP($A280,MINASA!$A$1:$BA$1000,53,FALSE)</f>
        <v>#N/A</v>
      </c>
      <c r="L280" s="20" t="s">
        <v>14</v>
      </c>
      <c r="M280" s="20" t="e">
        <f t="shared" si="7"/>
        <v>#N/A</v>
      </c>
      <c r="N280" s="20" t="s">
        <v>400</v>
      </c>
    </row>
    <row r="281" spans="1:14" ht="81.75" customHeight="1" thickBot="1">
      <c r="A281" s="20">
        <v>280</v>
      </c>
      <c r="B281" s="24" t="e">
        <f>VLOOKUP($A281,MINASA!$A$1:$BA$1000,10,FALSE)</f>
        <v>#N/A</v>
      </c>
      <c r="C281" s="20" t="e">
        <f t="shared" si="10"/>
        <v>#N/A</v>
      </c>
      <c r="D281" s="20" t="e">
        <f>VLOOKUP($A281,MINASA!$A$1:$BA$1000,27,FALSE)</f>
        <v>#N/A</v>
      </c>
      <c r="E281" s="20" t="e">
        <f>VLOOKUP($A281,MINASA!$A$1:$BA$1000,26,FALSE)</f>
        <v>#N/A</v>
      </c>
      <c r="F281" s="21" t="e">
        <f>VLOOKUP($A281,MINASA!$A$1:$BA$1000,30,FALSE)</f>
        <v>#N/A</v>
      </c>
      <c r="G281" s="20" t="e">
        <f>VLOOKUP($A281,MINASA!$A$1:$BA$1000,31,FALSE)</f>
        <v>#N/A</v>
      </c>
      <c r="H281" s="20" t="e">
        <f>VLOOKUP($A281,MINASA!$A$1:$BA$1000,47,FALSE)</f>
        <v>#N/A</v>
      </c>
      <c r="I281" s="21" t="e">
        <f>VLOOKUP($A281,MINASA!$A$1:$BA$1000,52,FALSE)</f>
        <v>#N/A</v>
      </c>
      <c r="J281" s="21" t="e">
        <f>VLOOKUP($A281,MINASA!$A$1:$BA$1000,53,FALSE)</f>
        <v>#N/A</v>
      </c>
      <c r="L281" s="20" t="s">
        <v>14</v>
      </c>
      <c r="M281" s="20" t="e">
        <f t="shared" si="7"/>
        <v>#N/A</v>
      </c>
      <c r="N281" s="20" t="s">
        <v>401</v>
      </c>
    </row>
    <row r="282" spans="1:14" ht="81.75" customHeight="1" thickBot="1">
      <c r="A282" s="20">
        <v>281</v>
      </c>
      <c r="B282" s="24" t="e">
        <f>VLOOKUP($A282,MINASA!$A$1:$BA$1000,10,FALSE)</f>
        <v>#N/A</v>
      </c>
      <c r="C282" s="20" t="e">
        <f t="shared" si="10"/>
        <v>#N/A</v>
      </c>
      <c r="D282" s="20" t="e">
        <f>VLOOKUP($A282,MINASA!$A$1:$BA$1000,27,FALSE)</f>
        <v>#N/A</v>
      </c>
      <c r="E282" s="20" t="e">
        <f>VLOOKUP($A282,MINASA!$A$1:$BA$1000,26,FALSE)</f>
        <v>#N/A</v>
      </c>
      <c r="F282" s="21" t="e">
        <f>VLOOKUP($A282,MINASA!$A$1:$BA$1000,30,FALSE)</f>
        <v>#N/A</v>
      </c>
      <c r="G282" s="20" t="e">
        <f>VLOOKUP($A282,MINASA!$A$1:$BA$1000,31,FALSE)</f>
        <v>#N/A</v>
      </c>
      <c r="H282" s="20" t="e">
        <f>VLOOKUP($A282,MINASA!$A$1:$BA$1000,47,FALSE)</f>
        <v>#N/A</v>
      </c>
      <c r="I282" s="21" t="e">
        <f>VLOOKUP($A282,MINASA!$A$1:$BA$1000,52,FALSE)</f>
        <v>#N/A</v>
      </c>
      <c r="J282" s="21" t="e">
        <f>VLOOKUP($A282,MINASA!$A$1:$BA$1000,53,FALSE)</f>
        <v>#N/A</v>
      </c>
      <c r="L282" s="20" t="s">
        <v>14</v>
      </c>
      <c r="M282" s="20" t="e">
        <f t="shared" si="7"/>
        <v>#N/A</v>
      </c>
      <c r="N282" s="20" t="s">
        <v>402</v>
      </c>
    </row>
    <row r="283" spans="1:14" ht="81.75" customHeight="1" thickBot="1">
      <c r="A283" s="20">
        <v>282</v>
      </c>
      <c r="B283" s="24" t="e">
        <f>VLOOKUP($A283,MINASA!$A$1:$BA$1000,10,FALSE)</f>
        <v>#N/A</v>
      </c>
      <c r="C283" s="20" t="e">
        <f t="shared" si="10"/>
        <v>#N/A</v>
      </c>
      <c r="D283" s="20" t="e">
        <f>VLOOKUP($A283,MINASA!$A$1:$BA$1000,27,FALSE)</f>
        <v>#N/A</v>
      </c>
      <c r="E283" s="20" t="e">
        <f>VLOOKUP($A283,MINASA!$A$1:$BA$1000,26,FALSE)</f>
        <v>#N/A</v>
      </c>
      <c r="F283" s="21" t="e">
        <f>VLOOKUP($A283,MINASA!$A$1:$BA$1000,30,FALSE)</f>
        <v>#N/A</v>
      </c>
      <c r="G283" s="20" t="e">
        <f>VLOOKUP($A283,MINASA!$A$1:$BA$1000,31,FALSE)</f>
        <v>#N/A</v>
      </c>
      <c r="H283" s="20" t="e">
        <f>VLOOKUP($A283,MINASA!$A$1:$BA$1000,47,FALSE)</f>
        <v>#N/A</v>
      </c>
      <c r="I283" s="21" t="e">
        <f>VLOOKUP($A283,MINASA!$A$1:$BA$1000,52,FALSE)</f>
        <v>#N/A</v>
      </c>
      <c r="J283" s="21" t="e">
        <f>VLOOKUP($A283,MINASA!$A$1:$BA$1000,53,FALSE)</f>
        <v>#N/A</v>
      </c>
      <c r="L283" s="20" t="s">
        <v>14</v>
      </c>
      <c r="M283" s="20" t="e">
        <f t="shared" si="7"/>
        <v>#N/A</v>
      </c>
      <c r="N283" s="20" t="s">
        <v>403</v>
      </c>
    </row>
    <row r="284" spans="1:14" ht="81.75" customHeight="1" thickBot="1">
      <c r="A284" s="20">
        <v>283</v>
      </c>
      <c r="B284" s="24" t="e">
        <f>VLOOKUP($A284,MINASA!$A$1:$BA$1000,10,FALSE)</f>
        <v>#N/A</v>
      </c>
      <c r="C284" s="20" t="e">
        <f t="shared" si="10"/>
        <v>#N/A</v>
      </c>
      <c r="D284" s="20" t="e">
        <f>VLOOKUP($A284,MINASA!$A$1:$BA$1000,27,FALSE)</f>
        <v>#N/A</v>
      </c>
      <c r="E284" s="20" t="e">
        <f>VLOOKUP($A284,MINASA!$A$1:$BA$1000,26,FALSE)</f>
        <v>#N/A</v>
      </c>
      <c r="F284" s="21" t="e">
        <f>VLOOKUP($A284,MINASA!$A$1:$BA$1000,30,FALSE)</f>
        <v>#N/A</v>
      </c>
      <c r="G284" s="20" t="e">
        <f>VLOOKUP($A284,MINASA!$A$1:$BA$1000,31,FALSE)</f>
        <v>#N/A</v>
      </c>
      <c r="H284" s="20" t="e">
        <f>VLOOKUP($A284,MINASA!$A$1:$BA$1000,47,FALSE)</f>
        <v>#N/A</v>
      </c>
      <c r="I284" s="21" t="e">
        <f>VLOOKUP($A284,MINASA!$A$1:$BA$1000,52,FALSE)</f>
        <v>#N/A</v>
      </c>
      <c r="J284" s="21" t="e">
        <f>VLOOKUP($A284,MINASA!$A$1:$BA$1000,53,FALSE)</f>
        <v>#N/A</v>
      </c>
      <c r="L284" s="20" t="s">
        <v>14</v>
      </c>
      <c r="M284" s="20" t="e">
        <f t="shared" si="7"/>
        <v>#N/A</v>
      </c>
      <c r="N284" s="20" t="s">
        <v>404</v>
      </c>
    </row>
    <row r="285" spans="1:14" ht="81.75" customHeight="1" thickBot="1">
      <c r="A285" s="20">
        <v>284</v>
      </c>
      <c r="B285" s="24" t="e">
        <f>VLOOKUP($A285,MINASA!$A$1:$BA$1000,10,FALSE)</f>
        <v>#N/A</v>
      </c>
      <c r="C285" s="20" t="e">
        <f t="shared" si="10"/>
        <v>#N/A</v>
      </c>
      <c r="D285" s="20" t="e">
        <f>VLOOKUP($A285,MINASA!$A$1:$BA$1000,27,FALSE)</f>
        <v>#N/A</v>
      </c>
      <c r="E285" s="20" t="e">
        <f>VLOOKUP($A285,MINASA!$A$1:$BA$1000,26,FALSE)</f>
        <v>#N/A</v>
      </c>
      <c r="F285" s="21" t="e">
        <f>VLOOKUP($A285,MINASA!$A$1:$BA$1000,30,FALSE)</f>
        <v>#N/A</v>
      </c>
      <c r="G285" s="20" t="e">
        <f>VLOOKUP($A285,MINASA!$A$1:$BA$1000,31,FALSE)</f>
        <v>#N/A</v>
      </c>
      <c r="H285" s="20" t="e">
        <f>VLOOKUP($A285,MINASA!$A$1:$BA$1000,47,FALSE)</f>
        <v>#N/A</v>
      </c>
      <c r="I285" s="21" t="e">
        <f>VLOOKUP($A285,MINASA!$A$1:$BA$1000,52,FALSE)</f>
        <v>#N/A</v>
      </c>
      <c r="J285" s="21" t="e">
        <f>VLOOKUP($A285,MINASA!$A$1:$BA$1000,53,FALSE)</f>
        <v>#N/A</v>
      </c>
      <c r="L285" s="20" t="s">
        <v>14</v>
      </c>
      <c r="M285" s="20" t="e">
        <f t="shared" si="7"/>
        <v>#N/A</v>
      </c>
      <c r="N285" s="20" t="s">
        <v>405</v>
      </c>
    </row>
    <row r="286" spans="1:14" ht="81.75" customHeight="1" thickBot="1">
      <c r="A286" s="20">
        <v>285</v>
      </c>
      <c r="B286" s="24" t="e">
        <f>VLOOKUP($A286,MINASA!$A$1:$BA$1000,10,FALSE)</f>
        <v>#N/A</v>
      </c>
      <c r="C286" s="20" t="e">
        <f t="shared" si="10"/>
        <v>#N/A</v>
      </c>
      <c r="D286" s="20" t="e">
        <f>VLOOKUP($A286,MINASA!$A$1:$BA$1000,27,FALSE)</f>
        <v>#N/A</v>
      </c>
      <c r="E286" s="20" t="e">
        <f>VLOOKUP($A286,MINASA!$A$1:$BA$1000,26,FALSE)</f>
        <v>#N/A</v>
      </c>
      <c r="F286" s="21" t="e">
        <f>VLOOKUP($A286,MINASA!$A$1:$BA$1000,30,FALSE)</f>
        <v>#N/A</v>
      </c>
      <c r="G286" s="20" t="e">
        <f>VLOOKUP($A286,MINASA!$A$1:$BA$1000,31,FALSE)</f>
        <v>#N/A</v>
      </c>
      <c r="H286" s="20" t="e">
        <f>VLOOKUP($A286,MINASA!$A$1:$BA$1000,47,FALSE)</f>
        <v>#N/A</v>
      </c>
      <c r="I286" s="21" t="e">
        <f>VLOOKUP($A286,MINASA!$A$1:$BA$1000,52,FALSE)</f>
        <v>#N/A</v>
      </c>
      <c r="J286" s="21" t="e">
        <f>VLOOKUP($A286,MINASA!$A$1:$BA$1000,53,FALSE)</f>
        <v>#N/A</v>
      </c>
      <c r="L286" s="20" t="s">
        <v>14</v>
      </c>
      <c r="M286" s="20" t="e">
        <f t="shared" si="7"/>
        <v>#N/A</v>
      </c>
      <c r="N286" s="20" t="s">
        <v>406</v>
      </c>
    </row>
    <row r="287" spans="1:14" ht="81.75" customHeight="1" thickBot="1">
      <c r="A287" s="20">
        <v>286</v>
      </c>
      <c r="B287" s="24" t="e">
        <f>VLOOKUP($A287,MINASA!$A$1:$BA$1000,10,FALSE)</f>
        <v>#N/A</v>
      </c>
      <c r="C287" s="20" t="e">
        <f t="shared" si="10"/>
        <v>#N/A</v>
      </c>
      <c r="D287" s="20" t="e">
        <f>VLOOKUP($A287,MINASA!$A$1:$BA$1000,27,FALSE)</f>
        <v>#N/A</v>
      </c>
      <c r="E287" s="20" t="e">
        <f>VLOOKUP($A287,MINASA!$A$1:$BA$1000,26,FALSE)</f>
        <v>#N/A</v>
      </c>
      <c r="F287" s="21" t="e">
        <f>VLOOKUP($A287,MINASA!$A$1:$BA$1000,30,FALSE)</f>
        <v>#N/A</v>
      </c>
      <c r="G287" s="20" t="e">
        <f>VLOOKUP($A287,MINASA!$A$1:$BA$1000,31,FALSE)</f>
        <v>#N/A</v>
      </c>
      <c r="H287" s="20" t="e">
        <f>VLOOKUP($A287,MINASA!$A$1:$BA$1000,47,FALSE)</f>
        <v>#N/A</v>
      </c>
      <c r="I287" s="21" t="e">
        <f>VLOOKUP($A287,MINASA!$A$1:$BA$1000,52,FALSE)</f>
        <v>#N/A</v>
      </c>
      <c r="J287" s="21" t="e">
        <f>VLOOKUP($A287,MINASA!$A$1:$BA$1000,53,FALSE)</f>
        <v>#N/A</v>
      </c>
      <c r="L287" s="20" t="s">
        <v>14</v>
      </c>
      <c r="M287" s="20" t="e">
        <f t="shared" si="7"/>
        <v>#N/A</v>
      </c>
      <c r="N287" s="20" t="s">
        <v>407</v>
      </c>
    </row>
    <row r="288" spans="1:14" ht="81.75" customHeight="1" thickBot="1">
      <c r="A288" s="20">
        <v>287</v>
      </c>
      <c r="B288" s="24" t="e">
        <f>VLOOKUP($A288,MINASA!$A$1:$BA$1000,10,FALSE)</f>
        <v>#N/A</v>
      </c>
      <c r="C288" s="20" t="e">
        <f t="shared" si="10"/>
        <v>#N/A</v>
      </c>
      <c r="D288" s="20" t="e">
        <f>VLOOKUP($A288,MINASA!$A$1:$BA$1000,27,FALSE)</f>
        <v>#N/A</v>
      </c>
      <c r="E288" s="20" t="e">
        <f>VLOOKUP($A288,MINASA!$A$1:$BA$1000,26,FALSE)</f>
        <v>#N/A</v>
      </c>
      <c r="F288" s="21" t="e">
        <f>VLOOKUP($A288,MINASA!$A$1:$BA$1000,30,FALSE)</f>
        <v>#N/A</v>
      </c>
      <c r="G288" s="20" t="e">
        <f>VLOOKUP($A288,MINASA!$A$1:$BA$1000,31,FALSE)</f>
        <v>#N/A</v>
      </c>
      <c r="H288" s="20" t="e">
        <f>VLOOKUP($A288,MINASA!$A$1:$BA$1000,47,FALSE)</f>
        <v>#N/A</v>
      </c>
      <c r="I288" s="21" t="e">
        <f>VLOOKUP($A288,MINASA!$A$1:$BA$1000,52,FALSE)</f>
        <v>#N/A</v>
      </c>
      <c r="J288" s="21" t="e">
        <f>VLOOKUP($A288,MINASA!$A$1:$BA$1000,53,FALSE)</f>
        <v>#N/A</v>
      </c>
      <c r="L288" s="20" t="s">
        <v>14</v>
      </c>
      <c r="M288" s="20" t="e">
        <f t="shared" si="7"/>
        <v>#N/A</v>
      </c>
      <c r="N288" s="20" t="s">
        <v>408</v>
      </c>
    </row>
    <row r="289" spans="1:14" ht="81.75" customHeight="1" thickBot="1">
      <c r="A289" s="20">
        <v>288</v>
      </c>
      <c r="B289" s="24" t="e">
        <f>VLOOKUP($A289,MINASA!$A$1:$BA$1000,10,FALSE)</f>
        <v>#N/A</v>
      </c>
      <c r="C289" s="20" t="e">
        <f t="shared" si="10"/>
        <v>#N/A</v>
      </c>
      <c r="D289" s="20" t="e">
        <f>VLOOKUP($A289,MINASA!$A$1:$BA$1000,27,FALSE)</f>
        <v>#N/A</v>
      </c>
      <c r="E289" s="20" t="e">
        <f>VLOOKUP($A289,MINASA!$A$1:$BA$1000,26,FALSE)</f>
        <v>#N/A</v>
      </c>
      <c r="F289" s="21" t="e">
        <f>VLOOKUP($A289,MINASA!$A$1:$BA$1000,30,FALSE)</f>
        <v>#N/A</v>
      </c>
      <c r="G289" s="20" t="e">
        <f>VLOOKUP($A289,MINASA!$A$1:$BA$1000,31,FALSE)</f>
        <v>#N/A</v>
      </c>
      <c r="H289" s="20" t="e">
        <f>VLOOKUP($A289,MINASA!$A$1:$BA$1000,47,FALSE)</f>
        <v>#N/A</v>
      </c>
      <c r="I289" s="21" t="e">
        <f>VLOOKUP($A289,MINASA!$A$1:$BA$1000,52,FALSE)</f>
        <v>#N/A</v>
      </c>
      <c r="J289" s="21" t="e">
        <f>VLOOKUP($A289,MINASA!$A$1:$BA$1000,53,FALSE)</f>
        <v>#N/A</v>
      </c>
      <c r="L289" s="20" t="s">
        <v>14</v>
      </c>
      <c r="M289" s="20" t="e">
        <f t="shared" si="7"/>
        <v>#N/A</v>
      </c>
      <c r="N289" s="20" t="s">
        <v>409</v>
      </c>
    </row>
    <row r="290" spans="1:14" ht="81.75" customHeight="1" thickBot="1">
      <c r="A290" s="20">
        <v>289</v>
      </c>
      <c r="B290" s="24" t="e">
        <f>VLOOKUP($A290,MINASA!$A$1:$BA$1000,10,FALSE)</f>
        <v>#N/A</v>
      </c>
      <c r="C290" s="20" t="e">
        <f t="shared" si="10"/>
        <v>#N/A</v>
      </c>
      <c r="D290" s="20" t="e">
        <f>VLOOKUP($A290,MINASA!$A$1:$BA$1000,27,FALSE)</f>
        <v>#N/A</v>
      </c>
      <c r="E290" s="20" t="e">
        <f>VLOOKUP($A290,MINASA!$A$1:$BA$1000,26,FALSE)</f>
        <v>#N/A</v>
      </c>
      <c r="F290" s="21" t="e">
        <f>VLOOKUP($A290,MINASA!$A$1:$BA$1000,30,FALSE)</f>
        <v>#N/A</v>
      </c>
      <c r="G290" s="20" t="e">
        <f>VLOOKUP($A290,MINASA!$A$1:$BA$1000,31,FALSE)</f>
        <v>#N/A</v>
      </c>
      <c r="H290" s="20" t="e">
        <f>VLOOKUP($A290,MINASA!$A$1:$BA$1000,47,FALSE)</f>
        <v>#N/A</v>
      </c>
      <c r="I290" s="21" t="e">
        <f>VLOOKUP($A290,MINASA!$A$1:$BA$1000,52,FALSE)</f>
        <v>#N/A</v>
      </c>
      <c r="J290" s="21" t="e">
        <f>VLOOKUP($A290,MINASA!$A$1:$BA$1000,53,FALSE)</f>
        <v>#N/A</v>
      </c>
      <c r="L290" s="20" t="s">
        <v>14</v>
      </c>
      <c r="M290" s="20" t="e">
        <f t="shared" si="7"/>
        <v>#N/A</v>
      </c>
      <c r="N290" s="20" t="s">
        <v>410</v>
      </c>
    </row>
    <row r="291" spans="1:14" ht="81.75" customHeight="1" thickBot="1">
      <c r="A291" s="20">
        <v>290</v>
      </c>
      <c r="B291" s="24" t="e">
        <f>VLOOKUP($A291,MINASA!$A$1:$BA$1000,10,FALSE)</f>
        <v>#N/A</v>
      </c>
      <c r="C291" s="20" t="e">
        <f t="shared" si="10"/>
        <v>#N/A</v>
      </c>
      <c r="D291" s="20" t="e">
        <f>VLOOKUP($A291,MINASA!$A$1:$BA$1000,27,FALSE)</f>
        <v>#N/A</v>
      </c>
      <c r="E291" s="20" t="e">
        <f>VLOOKUP($A291,MINASA!$A$1:$BA$1000,26,FALSE)</f>
        <v>#N/A</v>
      </c>
      <c r="F291" s="21" t="e">
        <f>VLOOKUP($A291,MINASA!$A$1:$BA$1000,30,FALSE)</f>
        <v>#N/A</v>
      </c>
      <c r="G291" s="20" t="e">
        <f>VLOOKUP($A291,MINASA!$A$1:$BA$1000,31,FALSE)</f>
        <v>#N/A</v>
      </c>
      <c r="H291" s="20" t="e">
        <f>VLOOKUP($A291,MINASA!$A$1:$BA$1000,47,FALSE)</f>
        <v>#N/A</v>
      </c>
      <c r="I291" s="21" t="e">
        <f>VLOOKUP($A291,MINASA!$A$1:$BA$1000,52,FALSE)</f>
        <v>#N/A</v>
      </c>
      <c r="J291" s="21" t="e">
        <f>VLOOKUP($A291,MINASA!$A$1:$BA$1000,53,FALSE)</f>
        <v>#N/A</v>
      </c>
      <c r="L291" s="20" t="s">
        <v>14</v>
      </c>
      <c r="M291" s="20" t="e">
        <f t="shared" si="7"/>
        <v>#N/A</v>
      </c>
      <c r="N291" s="20" t="s">
        <v>411</v>
      </c>
    </row>
    <row r="292" spans="1:14" ht="81.75" customHeight="1" thickBot="1">
      <c r="A292" s="20">
        <v>291</v>
      </c>
      <c r="B292" s="24" t="e">
        <f>VLOOKUP($A292,MINASA!$A$1:$BA$1000,10,FALSE)</f>
        <v>#N/A</v>
      </c>
      <c r="C292" s="20" t="e">
        <f t="shared" si="10"/>
        <v>#N/A</v>
      </c>
      <c r="D292" s="20" t="e">
        <f>VLOOKUP($A292,MINASA!$A$1:$BA$1000,27,FALSE)</f>
        <v>#N/A</v>
      </c>
      <c r="E292" s="20" t="e">
        <f>VLOOKUP($A292,MINASA!$A$1:$BA$1000,26,FALSE)</f>
        <v>#N/A</v>
      </c>
      <c r="F292" s="21" t="e">
        <f>VLOOKUP($A292,MINASA!$A$1:$BA$1000,30,FALSE)</f>
        <v>#N/A</v>
      </c>
      <c r="G292" s="20" t="e">
        <f>VLOOKUP($A292,MINASA!$A$1:$BA$1000,31,FALSE)</f>
        <v>#N/A</v>
      </c>
      <c r="H292" s="20" t="e">
        <f>VLOOKUP($A292,MINASA!$A$1:$BA$1000,47,FALSE)</f>
        <v>#N/A</v>
      </c>
      <c r="I292" s="21" t="e">
        <f>VLOOKUP($A292,MINASA!$A$1:$BA$1000,52,FALSE)</f>
        <v>#N/A</v>
      </c>
      <c r="J292" s="21" t="e">
        <f>VLOOKUP($A292,MINASA!$A$1:$BA$1000,53,FALSE)</f>
        <v>#N/A</v>
      </c>
      <c r="L292" s="20" t="s">
        <v>14</v>
      </c>
      <c r="M292" s="20" t="e">
        <f t="shared" si="7"/>
        <v>#N/A</v>
      </c>
      <c r="N292" s="20" t="s">
        <v>412</v>
      </c>
    </row>
    <row r="293" spans="1:14" ht="81.75" customHeight="1" thickBot="1">
      <c r="A293" s="20">
        <v>292</v>
      </c>
      <c r="B293" s="24" t="e">
        <f>VLOOKUP($A293,MINASA!$A$1:$BA$1000,10,FALSE)</f>
        <v>#N/A</v>
      </c>
      <c r="C293" s="20" t="e">
        <f t="shared" si="10"/>
        <v>#N/A</v>
      </c>
      <c r="D293" s="20" t="e">
        <f>VLOOKUP($A293,MINASA!$A$1:$BA$1000,27,FALSE)</f>
        <v>#N/A</v>
      </c>
      <c r="E293" s="20" t="e">
        <f>VLOOKUP($A293,MINASA!$A$1:$BA$1000,26,FALSE)</f>
        <v>#N/A</v>
      </c>
      <c r="F293" s="21" t="e">
        <f>VLOOKUP($A293,MINASA!$A$1:$BA$1000,30,FALSE)</f>
        <v>#N/A</v>
      </c>
      <c r="G293" s="20" t="e">
        <f>VLOOKUP($A293,MINASA!$A$1:$BA$1000,31,FALSE)</f>
        <v>#N/A</v>
      </c>
      <c r="H293" s="20" t="e">
        <f>VLOOKUP($A293,MINASA!$A$1:$BA$1000,47,FALSE)</f>
        <v>#N/A</v>
      </c>
      <c r="I293" s="21" t="e">
        <f>VLOOKUP($A293,MINASA!$A$1:$BA$1000,52,FALSE)</f>
        <v>#N/A</v>
      </c>
      <c r="J293" s="21" t="e">
        <f>VLOOKUP($A293,MINASA!$A$1:$BA$1000,53,FALSE)</f>
        <v>#N/A</v>
      </c>
      <c r="L293" s="20" t="s">
        <v>14</v>
      </c>
      <c r="M293" s="20" t="e">
        <f t="shared" si="7"/>
        <v>#N/A</v>
      </c>
      <c r="N293" s="20" t="s">
        <v>413</v>
      </c>
    </row>
    <row r="294" spans="1:14" ht="81.75" customHeight="1" thickBot="1">
      <c r="A294" s="20">
        <v>293</v>
      </c>
      <c r="B294" s="24" t="e">
        <f>VLOOKUP($A294,MINASA!$A$1:$BA$1000,10,FALSE)</f>
        <v>#N/A</v>
      </c>
      <c r="C294" s="20" t="e">
        <f t="shared" si="10"/>
        <v>#N/A</v>
      </c>
      <c r="D294" s="20" t="e">
        <f>VLOOKUP($A294,MINASA!$A$1:$BA$1000,27,FALSE)</f>
        <v>#N/A</v>
      </c>
      <c r="E294" s="20" t="e">
        <f>VLOOKUP($A294,MINASA!$A$1:$BA$1000,26,FALSE)</f>
        <v>#N/A</v>
      </c>
      <c r="F294" s="21" t="e">
        <f>VLOOKUP($A294,MINASA!$A$1:$BA$1000,30,FALSE)</f>
        <v>#N/A</v>
      </c>
      <c r="G294" s="20" t="e">
        <f>VLOOKUP($A294,MINASA!$A$1:$BA$1000,31,FALSE)</f>
        <v>#N/A</v>
      </c>
      <c r="H294" s="20" t="e">
        <f>VLOOKUP($A294,MINASA!$A$1:$BA$1000,47,FALSE)</f>
        <v>#N/A</v>
      </c>
      <c r="I294" s="21" t="e">
        <f>VLOOKUP($A294,MINASA!$A$1:$BA$1000,52,FALSE)</f>
        <v>#N/A</v>
      </c>
      <c r="J294" s="21" t="e">
        <f>VLOOKUP($A294,MINASA!$A$1:$BA$1000,53,FALSE)</f>
        <v>#N/A</v>
      </c>
      <c r="L294" s="20" t="s">
        <v>14</v>
      </c>
      <c r="M294" s="20" t="e">
        <f t="shared" si="7"/>
        <v>#N/A</v>
      </c>
      <c r="N294" s="20" t="s">
        <v>414</v>
      </c>
    </row>
    <row r="295" spans="1:14" ht="81.75" customHeight="1" thickBot="1">
      <c r="A295" s="20">
        <v>294</v>
      </c>
      <c r="B295" s="24" t="e">
        <f>VLOOKUP($A295,MINASA!$A$1:$BA$1000,10,FALSE)</f>
        <v>#N/A</v>
      </c>
      <c r="C295" s="20" t="e">
        <f t="shared" si="10"/>
        <v>#N/A</v>
      </c>
      <c r="D295" s="20" t="e">
        <f>VLOOKUP($A295,MINASA!$A$1:$BA$1000,27,FALSE)</f>
        <v>#N/A</v>
      </c>
      <c r="E295" s="20" t="e">
        <f>VLOOKUP($A295,MINASA!$A$1:$BA$1000,26,FALSE)</f>
        <v>#N/A</v>
      </c>
      <c r="F295" s="21" t="e">
        <f>VLOOKUP($A295,MINASA!$A$1:$BA$1000,30,FALSE)</f>
        <v>#N/A</v>
      </c>
      <c r="G295" s="20" t="e">
        <f>VLOOKUP($A295,MINASA!$A$1:$BA$1000,31,FALSE)</f>
        <v>#N/A</v>
      </c>
      <c r="H295" s="20" t="e">
        <f>VLOOKUP($A295,MINASA!$A$1:$BA$1000,47,FALSE)</f>
        <v>#N/A</v>
      </c>
      <c r="I295" s="21" t="e">
        <f>VLOOKUP($A295,MINASA!$A$1:$BA$1000,52,FALSE)</f>
        <v>#N/A</v>
      </c>
      <c r="J295" s="21" t="e">
        <f>VLOOKUP($A295,MINASA!$A$1:$BA$1000,53,FALSE)</f>
        <v>#N/A</v>
      </c>
      <c r="L295" s="20" t="s">
        <v>14</v>
      </c>
      <c r="M295" s="20" t="e">
        <f t="shared" si="7"/>
        <v>#N/A</v>
      </c>
      <c r="N295" s="20" t="s">
        <v>415</v>
      </c>
    </row>
    <row r="296" spans="1:14" ht="81.75" customHeight="1" thickBot="1">
      <c r="A296" s="20">
        <v>295</v>
      </c>
      <c r="B296" s="24" t="e">
        <f>VLOOKUP($A296,MINASA!$A$1:$BA$1000,10,FALSE)</f>
        <v>#N/A</v>
      </c>
      <c r="C296" s="20" t="e">
        <f t="shared" si="10"/>
        <v>#N/A</v>
      </c>
      <c r="D296" s="20" t="e">
        <f>VLOOKUP($A296,MINASA!$A$1:$BA$1000,27,FALSE)</f>
        <v>#N/A</v>
      </c>
      <c r="E296" s="20" t="e">
        <f>VLOOKUP($A296,MINASA!$A$1:$BA$1000,26,FALSE)</f>
        <v>#N/A</v>
      </c>
      <c r="F296" s="21" t="e">
        <f>VLOOKUP($A296,MINASA!$A$1:$BA$1000,30,FALSE)</f>
        <v>#N/A</v>
      </c>
      <c r="G296" s="20" t="e">
        <f>VLOOKUP($A296,MINASA!$A$1:$BA$1000,31,FALSE)</f>
        <v>#N/A</v>
      </c>
      <c r="H296" s="20" t="e">
        <f>VLOOKUP($A296,MINASA!$A$1:$BA$1000,47,FALSE)</f>
        <v>#N/A</v>
      </c>
      <c r="I296" s="21" t="e">
        <f>VLOOKUP($A296,MINASA!$A$1:$BA$1000,52,FALSE)</f>
        <v>#N/A</v>
      </c>
      <c r="J296" s="21" t="e">
        <f>VLOOKUP($A296,MINASA!$A$1:$BA$1000,53,FALSE)</f>
        <v>#N/A</v>
      </c>
      <c r="L296" s="20" t="s">
        <v>14</v>
      </c>
      <c r="M296" s="20" t="e">
        <f t="shared" si="7"/>
        <v>#N/A</v>
      </c>
      <c r="N296" s="20" t="s">
        <v>416</v>
      </c>
    </row>
    <row r="297" spans="1:14" ht="81.75" customHeight="1" thickBot="1">
      <c r="A297" s="20">
        <v>296</v>
      </c>
      <c r="B297" s="24" t="e">
        <f>VLOOKUP($A297,MINASA!$A$1:$BA$1000,10,FALSE)</f>
        <v>#N/A</v>
      </c>
      <c r="C297" s="20" t="e">
        <f t="shared" ref="C297:C360" si="11">LEFT(B297,8)</f>
        <v>#N/A</v>
      </c>
      <c r="D297" s="20" t="e">
        <f>VLOOKUP($A297,MINASA!$A$1:$BA$1000,27,FALSE)</f>
        <v>#N/A</v>
      </c>
      <c r="E297" s="20" t="e">
        <f>VLOOKUP($A297,MINASA!$A$1:$BA$1000,26,FALSE)</f>
        <v>#N/A</v>
      </c>
      <c r="F297" s="21" t="e">
        <f>VLOOKUP($A297,MINASA!$A$1:$BA$1000,30,FALSE)</f>
        <v>#N/A</v>
      </c>
      <c r="G297" s="20" t="e">
        <f>VLOOKUP($A297,MINASA!$A$1:$BA$1000,31,FALSE)</f>
        <v>#N/A</v>
      </c>
      <c r="H297" s="20" t="e">
        <f>VLOOKUP($A297,MINASA!$A$1:$BA$1000,47,FALSE)</f>
        <v>#N/A</v>
      </c>
      <c r="I297" s="21" t="e">
        <f>VLOOKUP($A297,MINASA!$A$1:$BA$1000,52,FALSE)</f>
        <v>#N/A</v>
      </c>
      <c r="J297" s="21" t="e">
        <f>VLOOKUP($A297,MINASA!$A$1:$BA$1000,53,FALSE)</f>
        <v>#N/A</v>
      </c>
      <c r="L297" s="20" t="s">
        <v>14</v>
      </c>
      <c r="M297" s="20" t="e">
        <f t="shared" si="7"/>
        <v>#N/A</v>
      </c>
      <c r="N297" s="20" t="s">
        <v>417</v>
      </c>
    </row>
    <row r="298" spans="1:14" ht="81.75" customHeight="1" thickBot="1">
      <c r="A298" s="20">
        <v>297</v>
      </c>
      <c r="B298" s="24" t="e">
        <f>VLOOKUP($A298,MINASA!$A$1:$BA$1000,10,FALSE)</f>
        <v>#N/A</v>
      </c>
      <c r="C298" s="20" t="e">
        <f t="shared" si="11"/>
        <v>#N/A</v>
      </c>
      <c r="D298" s="20" t="e">
        <f>VLOOKUP($A298,MINASA!$A$1:$BA$1000,27,FALSE)</f>
        <v>#N/A</v>
      </c>
      <c r="E298" s="20" t="e">
        <f>VLOOKUP($A298,MINASA!$A$1:$BA$1000,26,FALSE)</f>
        <v>#N/A</v>
      </c>
      <c r="F298" s="21" t="e">
        <f>VLOOKUP($A298,MINASA!$A$1:$BA$1000,30,FALSE)</f>
        <v>#N/A</v>
      </c>
      <c r="G298" s="20" t="e">
        <f>VLOOKUP($A298,MINASA!$A$1:$BA$1000,31,FALSE)</f>
        <v>#N/A</v>
      </c>
      <c r="H298" s="20" t="e">
        <f>VLOOKUP($A298,MINASA!$A$1:$BA$1000,47,FALSE)</f>
        <v>#N/A</v>
      </c>
      <c r="I298" s="21" t="e">
        <f>VLOOKUP($A298,MINASA!$A$1:$BA$1000,52,FALSE)</f>
        <v>#N/A</v>
      </c>
      <c r="J298" s="21" t="e">
        <f>VLOOKUP($A298,MINASA!$A$1:$BA$1000,53,FALSE)</f>
        <v>#N/A</v>
      </c>
      <c r="L298" s="20" t="s">
        <v>14</v>
      </c>
      <c r="M298" s="20" t="e">
        <f t="shared" ref="M298:M361" si="12">CONCATENATE(L298,C298,".jpg")</f>
        <v>#N/A</v>
      </c>
      <c r="N298" s="20" t="s">
        <v>418</v>
      </c>
    </row>
    <row r="299" spans="1:14" ht="81.75" customHeight="1" thickBot="1">
      <c r="A299" s="20">
        <v>298</v>
      </c>
      <c r="B299" s="24" t="e">
        <f>VLOOKUP($A299,MINASA!$A$1:$BA$1000,10,FALSE)</f>
        <v>#N/A</v>
      </c>
      <c r="C299" s="20" t="e">
        <f t="shared" si="11"/>
        <v>#N/A</v>
      </c>
      <c r="D299" s="20" t="e">
        <f>VLOOKUP($A299,MINASA!$A$1:$BA$1000,27,FALSE)</f>
        <v>#N/A</v>
      </c>
      <c r="E299" s="20" t="e">
        <f>VLOOKUP($A299,MINASA!$A$1:$BA$1000,26,FALSE)</f>
        <v>#N/A</v>
      </c>
      <c r="F299" s="21" t="e">
        <f>VLOOKUP($A299,MINASA!$A$1:$BA$1000,30,FALSE)</f>
        <v>#N/A</v>
      </c>
      <c r="G299" s="20" t="e">
        <f>VLOOKUP($A299,MINASA!$A$1:$BA$1000,31,FALSE)</f>
        <v>#N/A</v>
      </c>
      <c r="H299" s="20" t="e">
        <f>VLOOKUP($A299,MINASA!$A$1:$BA$1000,47,FALSE)</f>
        <v>#N/A</v>
      </c>
      <c r="I299" s="21" t="e">
        <f>VLOOKUP($A299,MINASA!$A$1:$BA$1000,52,FALSE)</f>
        <v>#N/A</v>
      </c>
      <c r="J299" s="21" t="e">
        <f>VLOOKUP($A299,MINASA!$A$1:$BA$1000,53,FALSE)</f>
        <v>#N/A</v>
      </c>
      <c r="L299" s="20" t="s">
        <v>14</v>
      </c>
      <c r="M299" s="20" t="e">
        <f t="shared" si="12"/>
        <v>#N/A</v>
      </c>
      <c r="N299" s="20" t="s">
        <v>419</v>
      </c>
    </row>
    <row r="300" spans="1:14" ht="81.75" customHeight="1" thickBot="1">
      <c r="A300" s="20">
        <v>299</v>
      </c>
      <c r="B300" s="24" t="e">
        <f>VLOOKUP($A300,MINASA!$A$1:$BA$1000,10,FALSE)</f>
        <v>#N/A</v>
      </c>
      <c r="C300" s="20" t="e">
        <f t="shared" si="11"/>
        <v>#N/A</v>
      </c>
      <c r="D300" s="20" t="e">
        <f>VLOOKUP($A300,MINASA!$A$1:$BA$1000,27,FALSE)</f>
        <v>#N/A</v>
      </c>
      <c r="E300" s="20" t="e">
        <f>VLOOKUP($A300,MINASA!$A$1:$BA$1000,26,FALSE)</f>
        <v>#N/A</v>
      </c>
      <c r="F300" s="21" t="e">
        <f>VLOOKUP($A300,MINASA!$A$1:$BA$1000,30,FALSE)</f>
        <v>#N/A</v>
      </c>
      <c r="G300" s="20" t="e">
        <f>VLOOKUP($A300,MINASA!$A$1:$BA$1000,31,FALSE)</f>
        <v>#N/A</v>
      </c>
      <c r="H300" s="20" t="e">
        <f>VLOOKUP($A300,MINASA!$A$1:$BA$1000,47,FALSE)</f>
        <v>#N/A</v>
      </c>
      <c r="I300" s="21" t="e">
        <f>VLOOKUP($A300,MINASA!$A$1:$BA$1000,52,FALSE)</f>
        <v>#N/A</v>
      </c>
      <c r="J300" s="21" t="e">
        <f>VLOOKUP($A300,MINASA!$A$1:$BA$1000,53,FALSE)</f>
        <v>#N/A</v>
      </c>
      <c r="L300" s="20" t="s">
        <v>14</v>
      </c>
      <c r="M300" s="20" t="e">
        <f t="shared" si="12"/>
        <v>#N/A</v>
      </c>
      <c r="N300" s="20" t="s">
        <v>420</v>
      </c>
    </row>
    <row r="301" spans="1:14" ht="81.75" customHeight="1" thickBot="1">
      <c r="A301" s="20">
        <v>300</v>
      </c>
      <c r="B301" s="24" t="e">
        <f>VLOOKUP($A301,MINASA!$A$1:$BA$1000,10,FALSE)</f>
        <v>#N/A</v>
      </c>
      <c r="C301" s="20" t="e">
        <f t="shared" si="11"/>
        <v>#N/A</v>
      </c>
      <c r="D301" s="20" t="e">
        <f>VLOOKUP($A301,MINASA!$A$1:$BA$1000,27,FALSE)</f>
        <v>#N/A</v>
      </c>
      <c r="E301" s="20" t="e">
        <f>VLOOKUP($A301,MINASA!$A$1:$BA$1000,26,FALSE)</f>
        <v>#N/A</v>
      </c>
      <c r="F301" s="21" t="e">
        <f>VLOOKUP($A301,MINASA!$A$1:$BA$1000,30,FALSE)</f>
        <v>#N/A</v>
      </c>
      <c r="G301" s="20" t="e">
        <f>VLOOKUP($A301,MINASA!$A$1:$BA$1000,31,FALSE)</f>
        <v>#N/A</v>
      </c>
      <c r="H301" s="20" t="e">
        <f>VLOOKUP($A301,MINASA!$A$1:$BA$1000,47,FALSE)</f>
        <v>#N/A</v>
      </c>
      <c r="I301" s="21" t="e">
        <f>VLOOKUP($A301,MINASA!$A$1:$BA$1000,52,FALSE)</f>
        <v>#N/A</v>
      </c>
      <c r="J301" s="21" t="e">
        <f>VLOOKUP($A301,MINASA!$A$1:$BA$1000,53,FALSE)</f>
        <v>#N/A</v>
      </c>
      <c r="L301" s="20" t="s">
        <v>14</v>
      </c>
      <c r="M301" s="20" t="e">
        <f t="shared" si="12"/>
        <v>#N/A</v>
      </c>
      <c r="N301" s="20" t="s">
        <v>421</v>
      </c>
    </row>
    <row r="302" spans="1:14" ht="81.75" customHeight="1" thickBot="1">
      <c r="A302" s="20">
        <v>301</v>
      </c>
      <c r="B302" s="24" t="e">
        <f>VLOOKUP($A302,MINASA!$A$1:$BA$1000,10,FALSE)</f>
        <v>#N/A</v>
      </c>
      <c r="C302" s="20" t="e">
        <f t="shared" si="11"/>
        <v>#N/A</v>
      </c>
      <c r="D302" s="20" t="e">
        <f>VLOOKUP($A302,MINASA!$A$1:$BA$1000,27,FALSE)</f>
        <v>#N/A</v>
      </c>
      <c r="E302" s="20" t="e">
        <f>VLOOKUP($A302,MINASA!$A$1:$BA$1000,26,FALSE)</f>
        <v>#N/A</v>
      </c>
      <c r="F302" s="21" t="e">
        <f>VLOOKUP($A302,MINASA!$A$1:$BA$1000,30,FALSE)</f>
        <v>#N/A</v>
      </c>
      <c r="G302" s="20" t="e">
        <f>VLOOKUP($A302,MINASA!$A$1:$BA$1000,31,FALSE)</f>
        <v>#N/A</v>
      </c>
      <c r="H302" s="20" t="e">
        <f>VLOOKUP($A302,MINASA!$A$1:$BA$1000,47,FALSE)</f>
        <v>#N/A</v>
      </c>
      <c r="I302" s="21" t="e">
        <f>VLOOKUP($A302,MINASA!$A$1:$BA$1000,52,FALSE)</f>
        <v>#N/A</v>
      </c>
      <c r="J302" s="21" t="e">
        <f>VLOOKUP($A302,MINASA!$A$1:$BA$1000,53,FALSE)</f>
        <v>#N/A</v>
      </c>
      <c r="L302" s="20" t="s">
        <v>14</v>
      </c>
      <c r="M302" s="20" t="e">
        <f t="shared" si="12"/>
        <v>#N/A</v>
      </c>
      <c r="N302" s="20" t="s">
        <v>422</v>
      </c>
    </row>
    <row r="303" spans="1:14" ht="81.75" customHeight="1" thickBot="1">
      <c r="A303" s="20">
        <v>302</v>
      </c>
      <c r="B303" s="24" t="e">
        <f>VLOOKUP($A303,MINASA!$A$1:$BA$1000,10,FALSE)</f>
        <v>#N/A</v>
      </c>
      <c r="C303" s="20" t="e">
        <f t="shared" si="11"/>
        <v>#N/A</v>
      </c>
      <c r="D303" s="20" t="e">
        <f>VLOOKUP($A303,MINASA!$A$1:$BA$1000,27,FALSE)</f>
        <v>#N/A</v>
      </c>
      <c r="E303" s="20" t="e">
        <f>VLOOKUP($A303,MINASA!$A$1:$BA$1000,26,FALSE)</f>
        <v>#N/A</v>
      </c>
      <c r="F303" s="21" t="e">
        <f>VLOOKUP($A303,MINASA!$A$1:$BA$1000,30,FALSE)</f>
        <v>#N/A</v>
      </c>
      <c r="G303" s="20" t="e">
        <f>VLOOKUP($A303,MINASA!$A$1:$BA$1000,31,FALSE)</f>
        <v>#N/A</v>
      </c>
      <c r="H303" s="20" t="e">
        <f>VLOOKUP($A303,MINASA!$A$1:$BA$1000,47,FALSE)</f>
        <v>#N/A</v>
      </c>
      <c r="I303" s="21" t="e">
        <f>VLOOKUP($A303,MINASA!$A$1:$BA$1000,52,FALSE)</f>
        <v>#N/A</v>
      </c>
      <c r="J303" s="21" t="e">
        <f>VLOOKUP($A303,MINASA!$A$1:$BA$1000,53,FALSE)</f>
        <v>#N/A</v>
      </c>
      <c r="L303" s="20" t="s">
        <v>14</v>
      </c>
      <c r="M303" s="20" t="e">
        <f t="shared" si="12"/>
        <v>#N/A</v>
      </c>
      <c r="N303" s="20" t="s">
        <v>423</v>
      </c>
    </row>
    <row r="304" spans="1:14" ht="81.75" customHeight="1" thickBot="1">
      <c r="A304" s="20">
        <v>303</v>
      </c>
      <c r="B304" s="24" t="e">
        <f>VLOOKUP($A304,MINASA!$A$1:$BA$1000,10,FALSE)</f>
        <v>#N/A</v>
      </c>
      <c r="C304" s="20" t="e">
        <f t="shared" si="11"/>
        <v>#N/A</v>
      </c>
      <c r="D304" s="20" t="e">
        <f>VLOOKUP($A304,MINASA!$A$1:$BA$1000,27,FALSE)</f>
        <v>#N/A</v>
      </c>
      <c r="E304" s="20" t="e">
        <f>VLOOKUP($A304,MINASA!$A$1:$BA$1000,26,FALSE)</f>
        <v>#N/A</v>
      </c>
      <c r="F304" s="21" t="e">
        <f>VLOOKUP($A304,MINASA!$A$1:$BA$1000,30,FALSE)</f>
        <v>#N/A</v>
      </c>
      <c r="G304" s="20" t="e">
        <f>VLOOKUP($A304,MINASA!$A$1:$BA$1000,31,FALSE)</f>
        <v>#N/A</v>
      </c>
      <c r="H304" s="20" t="e">
        <f>VLOOKUP($A304,MINASA!$A$1:$BA$1000,47,FALSE)</f>
        <v>#N/A</v>
      </c>
      <c r="I304" s="21" t="e">
        <f>VLOOKUP($A304,MINASA!$A$1:$BA$1000,52,FALSE)</f>
        <v>#N/A</v>
      </c>
      <c r="J304" s="21" t="e">
        <f>VLOOKUP($A304,MINASA!$A$1:$BA$1000,53,FALSE)</f>
        <v>#N/A</v>
      </c>
      <c r="L304" s="20" t="s">
        <v>14</v>
      </c>
      <c r="M304" s="20" t="e">
        <f t="shared" si="12"/>
        <v>#N/A</v>
      </c>
      <c r="N304" s="20" t="s">
        <v>424</v>
      </c>
    </row>
    <row r="305" spans="1:14" ht="81.75" customHeight="1" thickBot="1">
      <c r="A305" s="20">
        <v>304</v>
      </c>
      <c r="B305" s="24" t="e">
        <f>VLOOKUP($A305,MINASA!$A$1:$BA$1000,10,FALSE)</f>
        <v>#N/A</v>
      </c>
      <c r="C305" s="20" t="e">
        <f t="shared" si="11"/>
        <v>#N/A</v>
      </c>
      <c r="D305" s="20" t="e">
        <f>VLOOKUP($A305,MINASA!$A$1:$BA$1000,27,FALSE)</f>
        <v>#N/A</v>
      </c>
      <c r="E305" s="20" t="e">
        <f>VLOOKUP($A305,MINASA!$A$1:$BA$1000,26,FALSE)</f>
        <v>#N/A</v>
      </c>
      <c r="F305" s="21" t="e">
        <f>VLOOKUP($A305,MINASA!$A$1:$BA$1000,30,FALSE)</f>
        <v>#N/A</v>
      </c>
      <c r="G305" s="20" t="e">
        <f>VLOOKUP($A305,MINASA!$A$1:$BA$1000,31,FALSE)</f>
        <v>#N/A</v>
      </c>
      <c r="H305" s="20" t="e">
        <f>VLOOKUP($A305,MINASA!$A$1:$BA$1000,47,FALSE)</f>
        <v>#N/A</v>
      </c>
      <c r="I305" s="21" t="e">
        <f>VLOOKUP($A305,MINASA!$A$1:$BA$1000,52,FALSE)</f>
        <v>#N/A</v>
      </c>
      <c r="J305" s="21" t="e">
        <f>VLOOKUP($A305,MINASA!$A$1:$BA$1000,53,FALSE)</f>
        <v>#N/A</v>
      </c>
      <c r="L305" s="20" t="s">
        <v>14</v>
      </c>
      <c r="M305" s="20" t="e">
        <f t="shared" si="12"/>
        <v>#N/A</v>
      </c>
      <c r="N305" s="20" t="s">
        <v>425</v>
      </c>
    </row>
    <row r="306" spans="1:14" ht="81.75" customHeight="1" thickBot="1">
      <c r="A306" s="20">
        <v>305</v>
      </c>
      <c r="B306" s="24" t="e">
        <f>VLOOKUP($A306,MINASA!$A$1:$BA$1000,10,FALSE)</f>
        <v>#N/A</v>
      </c>
      <c r="C306" s="20" t="e">
        <f t="shared" si="11"/>
        <v>#N/A</v>
      </c>
      <c r="D306" s="20" t="e">
        <f>VLOOKUP($A306,MINASA!$A$1:$BA$1000,27,FALSE)</f>
        <v>#N/A</v>
      </c>
      <c r="E306" s="20" t="e">
        <f>VLOOKUP($A306,MINASA!$A$1:$BA$1000,26,FALSE)</f>
        <v>#N/A</v>
      </c>
      <c r="F306" s="21" t="e">
        <f>VLOOKUP($A306,MINASA!$A$1:$BA$1000,30,FALSE)</f>
        <v>#N/A</v>
      </c>
      <c r="G306" s="20" t="e">
        <f>VLOOKUP($A306,MINASA!$A$1:$BA$1000,31,FALSE)</f>
        <v>#N/A</v>
      </c>
      <c r="H306" s="20" t="e">
        <f>VLOOKUP($A306,MINASA!$A$1:$BA$1000,47,FALSE)</f>
        <v>#N/A</v>
      </c>
      <c r="I306" s="21" t="e">
        <f>VLOOKUP($A306,MINASA!$A$1:$BA$1000,52,FALSE)</f>
        <v>#N/A</v>
      </c>
      <c r="J306" s="21" t="e">
        <f>VLOOKUP($A306,MINASA!$A$1:$BA$1000,53,FALSE)</f>
        <v>#N/A</v>
      </c>
      <c r="L306" s="20" t="s">
        <v>14</v>
      </c>
      <c r="M306" s="20" t="e">
        <f t="shared" si="12"/>
        <v>#N/A</v>
      </c>
      <c r="N306" s="20" t="s">
        <v>426</v>
      </c>
    </row>
    <row r="307" spans="1:14" ht="81.75" customHeight="1" thickBot="1">
      <c r="A307" s="20">
        <v>306</v>
      </c>
      <c r="B307" s="24" t="e">
        <f>VLOOKUP($A307,MINASA!$A$1:$BA$1000,10,FALSE)</f>
        <v>#N/A</v>
      </c>
      <c r="C307" s="20" t="e">
        <f t="shared" si="11"/>
        <v>#N/A</v>
      </c>
      <c r="D307" s="20" t="e">
        <f>VLOOKUP($A307,MINASA!$A$1:$BA$1000,27,FALSE)</f>
        <v>#N/A</v>
      </c>
      <c r="E307" s="20" t="e">
        <f>VLOOKUP($A307,MINASA!$A$1:$BA$1000,26,FALSE)</f>
        <v>#N/A</v>
      </c>
      <c r="F307" s="21" t="e">
        <f>VLOOKUP($A307,MINASA!$A$1:$BA$1000,30,FALSE)</f>
        <v>#N/A</v>
      </c>
      <c r="G307" s="20" t="e">
        <f>VLOOKUP($A307,MINASA!$A$1:$BA$1000,31,FALSE)</f>
        <v>#N/A</v>
      </c>
      <c r="H307" s="20" t="e">
        <f>VLOOKUP($A307,MINASA!$A$1:$BA$1000,47,FALSE)</f>
        <v>#N/A</v>
      </c>
      <c r="I307" s="21" t="e">
        <f>VLOOKUP($A307,MINASA!$A$1:$BA$1000,52,FALSE)</f>
        <v>#N/A</v>
      </c>
      <c r="J307" s="21" t="e">
        <f>VLOOKUP($A307,MINASA!$A$1:$BA$1000,53,FALSE)</f>
        <v>#N/A</v>
      </c>
      <c r="L307" s="20" t="s">
        <v>14</v>
      </c>
      <c r="M307" s="20" t="e">
        <f t="shared" si="12"/>
        <v>#N/A</v>
      </c>
      <c r="N307" s="20" t="s">
        <v>427</v>
      </c>
    </row>
    <row r="308" spans="1:14" ht="81.75" customHeight="1" thickBot="1">
      <c r="A308" s="20">
        <v>307</v>
      </c>
      <c r="B308" s="24" t="e">
        <f>VLOOKUP($A308,MINASA!$A$1:$BA$1000,10,FALSE)</f>
        <v>#N/A</v>
      </c>
      <c r="C308" s="20" t="e">
        <f t="shared" si="11"/>
        <v>#N/A</v>
      </c>
      <c r="D308" s="20" t="e">
        <f>VLOOKUP($A308,MINASA!$A$1:$BA$1000,27,FALSE)</f>
        <v>#N/A</v>
      </c>
      <c r="E308" s="20" t="e">
        <f>VLOOKUP($A308,MINASA!$A$1:$BA$1000,26,FALSE)</f>
        <v>#N/A</v>
      </c>
      <c r="F308" s="21" t="e">
        <f>VLOOKUP($A308,MINASA!$A$1:$BA$1000,30,FALSE)</f>
        <v>#N/A</v>
      </c>
      <c r="G308" s="20" t="e">
        <f>VLOOKUP($A308,MINASA!$A$1:$BA$1000,31,FALSE)</f>
        <v>#N/A</v>
      </c>
      <c r="H308" s="20" t="e">
        <f>VLOOKUP($A308,MINASA!$A$1:$BA$1000,47,FALSE)</f>
        <v>#N/A</v>
      </c>
      <c r="I308" s="21" t="e">
        <f>VLOOKUP($A308,MINASA!$A$1:$BA$1000,52,FALSE)</f>
        <v>#N/A</v>
      </c>
      <c r="J308" s="21" t="e">
        <f>VLOOKUP($A308,MINASA!$A$1:$BA$1000,53,FALSE)</f>
        <v>#N/A</v>
      </c>
      <c r="L308" s="20" t="s">
        <v>14</v>
      </c>
      <c r="M308" s="20" t="e">
        <f t="shared" si="12"/>
        <v>#N/A</v>
      </c>
      <c r="N308" s="20" t="s">
        <v>428</v>
      </c>
    </row>
    <row r="309" spans="1:14" ht="81.75" customHeight="1" thickBot="1">
      <c r="A309" s="20">
        <v>308</v>
      </c>
      <c r="B309" s="24" t="e">
        <f>VLOOKUP($A309,MINASA!$A$1:$BA$1000,10,FALSE)</f>
        <v>#N/A</v>
      </c>
      <c r="C309" s="20" t="e">
        <f t="shared" si="11"/>
        <v>#N/A</v>
      </c>
      <c r="D309" s="20" t="e">
        <f>VLOOKUP($A309,MINASA!$A$1:$BA$1000,27,FALSE)</f>
        <v>#N/A</v>
      </c>
      <c r="E309" s="20" t="e">
        <f>VLOOKUP($A309,MINASA!$A$1:$BA$1000,26,FALSE)</f>
        <v>#N/A</v>
      </c>
      <c r="F309" s="21" t="e">
        <f>VLOOKUP($A309,MINASA!$A$1:$BA$1000,30,FALSE)</f>
        <v>#N/A</v>
      </c>
      <c r="G309" s="20" t="e">
        <f>VLOOKUP($A309,MINASA!$A$1:$BA$1000,31,FALSE)</f>
        <v>#N/A</v>
      </c>
      <c r="H309" s="20" t="e">
        <f>VLOOKUP($A309,MINASA!$A$1:$BA$1000,47,FALSE)</f>
        <v>#N/A</v>
      </c>
      <c r="I309" s="21" t="e">
        <f>VLOOKUP($A309,MINASA!$A$1:$BA$1000,52,FALSE)</f>
        <v>#N/A</v>
      </c>
      <c r="J309" s="21" t="e">
        <f>VLOOKUP($A309,MINASA!$A$1:$BA$1000,53,FALSE)</f>
        <v>#N/A</v>
      </c>
      <c r="L309" s="20" t="s">
        <v>14</v>
      </c>
      <c r="M309" s="20" t="e">
        <f t="shared" si="12"/>
        <v>#N/A</v>
      </c>
      <c r="N309" s="20" t="s">
        <v>429</v>
      </c>
    </row>
    <row r="310" spans="1:14" ht="81.75" customHeight="1" thickBot="1">
      <c r="A310" s="20">
        <v>309</v>
      </c>
      <c r="B310" s="24" t="e">
        <f>VLOOKUP($A310,MINASA!$A$1:$BA$1000,10,FALSE)</f>
        <v>#N/A</v>
      </c>
      <c r="C310" s="20" t="e">
        <f t="shared" si="11"/>
        <v>#N/A</v>
      </c>
      <c r="D310" s="20" t="e">
        <f>VLOOKUP($A310,MINASA!$A$1:$BA$1000,27,FALSE)</f>
        <v>#N/A</v>
      </c>
      <c r="E310" s="20" t="e">
        <f>VLOOKUP($A310,MINASA!$A$1:$BA$1000,26,FALSE)</f>
        <v>#N/A</v>
      </c>
      <c r="F310" s="21" t="e">
        <f>VLOOKUP($A310,MINASA!$A$1:$BA$1000,30,FALSE)</f>
        <v>#N/A</v>
      </c>
      <c r="G310" s="20" t="e">
        <f>VLOOKUP($A310,MINASA!$A$1:$BA$1000,31,FALSE)</f>
        <v>#N/A</v>
      </c>
      <c r="H310" s="20" t="e">
        <f>VLOOKUP($A310,MINASA!$A$1:$BA$1000,47,FALSE)</f>
        <v>#N/A</v>
      </c>
      <c r="I310" s="21" t="e">
        <f>VLOOKUP($A310,MINASA!$A$1:$BA$1000,52,FALSE)</f>
        <v>#N/A</v>
      </c>
      <c r="J310" s="21" t="e">
        <f>VLOOKUP($A310,MINASA!$A$1:$BA$1000,53,FALSE)</f>
        <v>#N/A</v>
      </c>
      <c r="L310" s="20" t="s">
        <v>14</v>
      </c>
      <c r="M310" s="20" t="e">
        <f t="shared" si="12"/>
        <v>#N/A</v>
      </c>
      <c r="N310" s="20" t="s">
        <v>430</v>
      </c>
    </row>
    <row r="311" spans="1:14" ht="81.75" customHeight="1" thickBot="1">
      <c r="A311" s="20">
        <v>310</v>
      </c>
      <c r="B311" s="24" t="e">
        <f>VLOOKUP($A311,MINASA!$A$1:$BA$1000,10,FALSE)</f>
        <v>#N/A</v>
      </c>
      <c r="C311" s="20" t="e">
        <f t="shared" si="11"/>
        <v>#N/A</v>
      </c>
      <c r="D311" s="20" t="e">
        <f>VLOOKUP($A311,MINASA!$A$1:$BA$1000,27,FALSE)</f>
        <v>#N/A</v>
      </c>
      <c r="E311" s="20" t="e">
        <f>VLOOKUP($A311,MINASA!$A$1:$BA$1000,26,FALSE)</f>
        <v>#N/A</v>
      </c>
      <c r="F311" s="21" t="e">
        <f>VLOOKUP($A311,MINASA!$A$1:$BA$1000,30,FALSE)</f>
        <v>#N/A</v>
      </c>
      <c r="G311" s="20" t="e">
        <f>VLOOKUP($A311,MINASA!$A$1:$BA$1000,31,FALSE)</f>
        <v>#N/A</v>
      </c>
      <c r="H311" s="20" t="e">
        <f>VLOOKUP($A311,MINASA!$A$1:$BA$1000,47,FALSE)</f>
        <v>#N/A</v>
      </c>
      <c r="I311" s="21" t="e">
        <f>VLOOKUP($A311,MINASA!$A$1:$BA$1000,52,FALSE)</f>
        <v>#N/A</v>
      </c>
      <c r="J311" s="21" t="e">
        <f>VLOOKUP($A311,MINASA!$A$1:$BA$1000,53,FALSE)</f>
        <v>#N/A</v>
      </c>
      <c r="L311" s="20" t="s">
        <v>14</v>
      </c>
      <c r="M311" s="20" t="e">
        <f t="shared" si="12"/>
        <v>#N/A</v>
      </c>
      <c r="N311" s="20" t="s">
        <v>431</v>
      </c>
    </row>
    <row r="312" spans="1:14" ht="81.75" customHeight="1" thickBot="1">
      <c r="A312" s="20">
        <v>311</v>
      </c>
      <c r="B312" s="24" t="e">
        <f>VLOOKUP($A312,MINASA!$A$1:$BA$1000,10,FALSE)</f>
        <v>#N/A</v>
      </c>
      <c r="C312" s="20" t="e">
        <f t="shared" si="11"/>
        <v>#N/A</v>
      </c>
      <c r="D312" s="20" t="e">
        <f>VLOOKUP($A312,MINASA!$A$1:$BA$1000,27,FALSE)</f>
        <v>#N/A</v>
      </c>
      <c r="E312" s="20" t="e">
        <f>VLOOKUP($A312,MINASA!$A$1:$BA$1000,26,FALSE)</f>
        <v>#N/A</v>
      </c>
      <c r="F312" s="21" t="e">
        <f>VLOOKUP($A312,MINASA!$A$1:$BA$1000,30,FALSE)</f>
        <v>#N/A</v>
      </c>
      <c r="G312" s="20" t="e">
        <f>VLOOKUP($A312,MINASA!$A$1:$BA$1000,31,FALSE)</f>
        <v>#N/A</v>
      </c>
      <c r="H312" s="20" t="e">
        <f>VLOOKUP($A312,MINASA!$A$1:$BA$1000,47,FALSE)</f>
        <v>#N/A</v>
      </c>
      <c r="I312" s="21" t="e">
        <f>VLOOKUP($A312,MINASA!$A$1:$BA$1000,52,FALSE)</f>
        <v>#N/A</v>
      </c>
      <c r="J312" s="21" t="e">
        <f>VLOOKUP($A312,MINASA!$A$1:$BA$1000,53,FALSE)</f>
        <v>#N/A</v>
      </c>
      <c r="L312" s="20" t="s">
        <v>14</v>
      </c>
      <c r="M312" s="20" t="e">
        <f t="shared" si="12"/>
        <v>#N/A</v>
      </c>
      <c r="N312" s="20" t="s">
        <v>432</v>
      </c>
    </row>
    <row r="313" spans="1:14" ht="81.75" customHeight="1" thickBot="1">
      <c r="A313" s="20">
        <v>312</v>
      </c>
      <c r="B313" s="24" t="e">
        <f>VLOOKUP($A313,MINASA!$A$1:$BA$1000,10,FALSE)</f>
        <v>#N/A</v>
      </c>
      <c r="C313" s="20" t="e">
        <f t="shared" si="11"/>
        <v>#N/A</v>
      </c>
      <c r="D313" s="20" t="e">
        <f>VLOOKUP($A313,MINASA!$A$1:$BA$1000,27,FALSE)</f>
        <v>#N/A</v>
      </c>
      <c r="E313" s="20" t="e">
        <f>VLOOKUP($A313,MINASA!$A$1:$BA$1000,26,FALSE)</f>
        <v>#N/A</v>
      </c>
      <c r="F313" s="21" t="e">
        <f>VLOOKUP($A313,MINASA!$A$1:$BA$1000,30,FALSE)</f>
        <v>#N/A</v>
      </c>
      <c r="G313" s="20" t="e">
        <f>VLOOKUP($A313,MINASA!$A$1:$BA$1000,31,FALSE)</f>
        <v>#N/A</v>
      </c>
      <c r="H313" s="20" t="e">
        <f>VLOOKUP($A313,MINASA!$A$1:$BA$1000,47,FALSE)</f>
        <v>#N/A</v>
      </c>
      <c r="I313" s="21" t="e">
        <f>VLOOKUP($A313,MINASA!$A$1:$BA$1000,52,FALSE)</f>
        <v>#N/A</v>
      </c>
      <c r="J313" s="21" t="e">
        <f>VLOOKUP($A313,MINASA!$A$1:$BA$1000,53,FALSE)</f>
        <v>#N/A</v>
      </c>
      <c r="L313" s="20" t="s">
        <v>14</v>
      </c>
      <c r="M313" s="20" t="e">
        <f t="shared" si="12"/>
        <v>#N/A</v>
      </c>
      <c r="N313" s="20" t="s">
        <v>433</v>
      </c>
    </row>
    <row r="314" spans="1:14" ht="81.75" customHeight="1" thickBot="1">
      <c r="A314" s="20">
        <v>313</v>
      </c>
      <c r="B314" s="24" t="e">
        <f>VLOOKUP($A314,MINASA!$A$1:$BA$1000,10,FALSE)</f>
        <v>#N/A</v>
      </c>
      <c r="C314" s="20" t="e">
        <f t="shared" si="11"/>
        <v>#N/A</v>
      </c>
      <c r="D314" s="20" t="e">
        <f>VLOOKUP($A314,MINASA!$A$1:$BA$1000,27,FALSE)</f>
        <v>#N/A</v>
      </c>
      <c r="E314" s="20" t="e">
        <f>VLOOKUP($A314,MINASA!$A$1:$BA$1000,26,FALSE)</f>
        <v>#N/A</v>
      </c>
      <c r="F314" s="21" t="e">
        <f>VLOOKUP($A314,MINASA!$A$1:$BA$1000,30,FALSE)</f>
        <v>#N/A</v>
      </c>
      <c r="G314" s="20" t="e">
        <f>VLOOKUP($A314,MINASA!$A$1:$BA$1000,31,FALSE)</f>
        <v>#N/A</v>
      </c>
      <c r="H314" s="20" t="e">
        <f>VLOOKUP($A314,MINASA!$A$1:$BA$1000,47,FALSE)</f>
        <v>#N/A</v>
      </c>
      <c r="I314" s="21" t="e">
        <f>VLOOKUP($A314,MINASA!$A$1:$BA$1000,52,FALSE)</f>
        <v>#N/A</v>
      </c>
      <c r="J314" s="21" t="e">
        <f>VLOOKUP($A314,MINASA!$A$1:$BA$1000,53,FALSE)</f>
        <v>#N/A</v>
      </c>
      <c r="L314" s="20" t="s">
        <v>14</v>
      </c>
      <c r="M314" s="20" t="e">
        <f t="shared" si="12"/>
        <v>#N/A</v>
      </c>
      <c r="N314" s="20" t="s">
        <v>434</v>
      </c>
    </row>
    <row r="315" spans="1:14" ht="81.75" customHeight="1" thickBot="1">
      <c r="A315" s="20">
        <v>314</v>
      </c>
      <c r="B315" s="24" t="e">
        <f>VLOOKUP($A315,MINASA!$A$1:$BA$1000,10,FALSE)</f>
        <v>#N/A</v>
      </c>
      <c r="C315" s="20" t="e">
        <f t="shared" si="11"/>
        <v>#N/A</v>
      </c>
      <c r="D315" s="20" t="e">
        <f>VLOOKUP($A315,MINASA!$A$1:$BA$1000,27,FALSE)</f>
        <v>#N/A</v>
      </c>
      <c r="E315" s="20" t="e">
        <f>VLOOKUP($A315,MINASA!$A$1:$BA$1000,26,FALSE)</f>
        <v>#N/A</v>
      </c>
      <c r="F315" s="21" t="e">
        <f>VLOOKUP($A315,MINASA!$A$1:$BA$1000,30,FALSE)</f>
        <v>#N/A</v>
      </c>
      <c r="G315" s="20" t="e">
        <f>VLOOKUP($A315,MINASA!$A$1:$BA$1000,31,FALSE)</f>
        <v>#N/A</v>
      </c>
      <c r="H315" s="20" t="e">
        <f>VLOOKUP($A315,MINASA!$A$1:$BA$1000,47,FALSE)</f>
        <v>#N/A</v>
      </c>
      <c r="I315" s="21" t="e">
        <f>VLOOKUP($A315,MINASA!$A$1:$BA$1000,52,FALSE)</f>
        <v>#N/A</v>
      </c>
      <c r="J315" s="21" t="e">
        <f>VLOOKUP($A315,MINASA!$A$1:$BA$1000,53,FALSE)</f>
        <v>#N/A</v>
      </c>
      <c r="L315" s="20" t="s">
        <v>14</v>
      </c>
      <c r="M315" s="20" t="e">
        <f t="shared" si="12"/>
        <v>#N/A</v>
      </c>
      <c r="N315" s="20" t="s">
        <v>435</v>
      </c>
    </row>
    <row r="316" spans="1:14" ht="81.75" customHeight="1" thickBot="1">
      <c r="A316" s="20">
        <v>315</v>
      </c>
      <c r="B316" s="24" t="e">
        <f>VLOOKUP($A316,MINASA!$A$1:$BA$1000,10,FALSE)</f>
        <v>#N/A</v>
      </c>
      <c r="C316" s="20" t="e">
        <f t="shared" si="11"/>
        <v>#N/A</v>
      </c>
      <c r="D316" s="20" t="e">
        <f>VLOOKUP($A316,MINASA!$A$1:$BA$1000,27,FALSE)</f>
        <v>#N/A</v>
      </c>
      <c r="E316" s="20" t="e">
        <f>VLOOKUP($A316,MINASA!$A$1:$BA$1000,26,FALSE)</f>
        <v>#N/A</v>
      </c>
      <c r="F316" s="21" t="e">
        <f>VLOOKUP($A316,MINASA!$A$1:$BA$1000,30,FALSE)</f>
        <v>#N/A</v>
      </c>
      <c r="G316" s="20" t="e">
        <f>VLOOKUP($A316,MINASA!$A$1:$BA$1000,31,FALSE)</f>
        <v>#N/A</v>
      </c>
      <c r="H316" s="20" t="e">
        <f>VLOOKUP($A316,MINASA!$A$1:$BA$1000,47,FALSE)</f>
        <v>#N/A</v>
      </c>
      <c r="I316" s="21" t="e">
        <f>VLOOKUP($A316,MINASA!$A$1:$BA$1000,52,FALSE)</f>
        <v>#N/A</v>
      </c>
      <c r="J316" s="21" t="e">
        <f>VLOOKUP($A316,MINASA!$A$1:$BA$1000,53,FALSE)</f>
        <v>#N/A</v>
      </c>
      <c r="L316" s="20" t="s">
        <v>14</v>
      </c>
      <c r="M316" s="20" t="e">
        <f t="shared" si="12"/>
        <v>#N/A</v>
      </c>
      <c r="N316" s="20" t="s">
        <v>436</v>
      </c>
    </row>
    <row r="317" spans="1:14" ht="81.75" customHeight="1" thickBot="1">
      <c r="A317" s="20">
        <v>316</v>
      </c>
      <c r="B317" s="24" t="e">
        <f>VLOOKUP($A317,MINASA!$A$1:$BA$1000,10,FALSE)</f>
        <v>#N/A</v>
      </c>
      <c r="C317" s="20" t="e">
        <f t="shared" si="11"/>
        <v>#N/A</v>
      </c>
      <c r="D317" s="20" t="e">
        <f>VLOOKUP($A317,MINASA!$A$1:$BA$1000,27,FALSE)</f>
        <v>#N/A</v>
      </c>
      <c r="E317" s="20" t="e">
        <f>VLOOKUP($A317,MINASA!$A$1:$BA$1000,26,FALSE)</f>
        <v>#N/A</v>
      </c>
      <c r="F317" s="21" t="e">
        <f>VLOOKUP($A317,MINASA!$A$1:$BA$1000,30,FALSE)</f>
        <v>#N/A</v>
      </c>
      <c r="G317" s="20" t="e">
        <f>VLOOKUP($A317,MINASA!$A$1:$BA$1000,31,FALSE)</f>
        <v>#N/A</v>
      </c>
      <c r="H317" s="20" t="e">
        <f>VLOOKUP($A317,MINASA!$A$1:$BA$1000,47,FALSE)</f>
        <v>#N/A</v>
      </c>
      <c r="I317" s="21" t="e">
        <f>VLOOKUP($A317,MINASA!$A$1:$BA$1000,52,FALSE)</f>
        <v>#N/A</v>
      </c>
      <c r="J317" s="21" t="e">
        <f>VLOOKUP($A317,MINASA!$A$1:$BA$1000,53,FALSE)</f>
        <v>#N/A</v>
      </c>
      <c r="L317" s="20" t="s">
        <v>14</v>
      </c>
      <c r="M317" s="20" t="e">
        <f t="shared" si="12"/>
        <v>#N/A</v>
      </c>
      <c r="N317" s="20" t="s">
        <v>437</v>
      </c>
    </row>
    <row r="318" spans="1:14" ht="81.75" customHeight="1" thickBot="1">
      <c r="A318" s="20">
        <v>317</v>
      </c>
      <c r="B318" s="24" t="e">
        <f>VLOOKUP($A318,MINASA!$A$1:$BA$1000,10,FALSE)</f>
        <v>#N/A</v>
      </c>
      <c r="C318" s="20" t="e">
        <f t="shared" si="11"/>
        <v>#N/A</v>
      </c>
      <c r="D318" s="20" t="e">
        <f>VLOOKUP($A318,MINASA!$A$1:$BA$1000,27,FALSE)</f>
        <v>#N/A</v>
      </c>
      <c r="E318" s="20" t="e">
        <f>VLOOKUP($A318,MINASA!$A$1:$BA$1000,26,FALSE)</f>
        <v>#N/A</v>
      </c>
      <c r="F318" s="21" t="e">
        <f>VLOOKUP($A318,MINASA!$A$1:$BA$1000,30,FALSE)</f>
        <v>#N/A</v>
      </c>
      <c r="G318" s="20" t="e">
        <f>VLOOKUP($A318,MINASA!$A$1:$BA$1000,31,FALSE)</f>
        <v>#N/A</v>
      </c>
      <c r="H318" s="20" t="e">
        <f>VLOOKUP($A318,MINASA!$A$1:$BA$1000,47,FALSE)</f>
        <v>#N/A</v>
      </c>
      <c r="I318" s="21" t="e">
        <f>VLOOKUP($A318,MINASA!$A$1:$BA$1000,52,FALSE)</f>
        <v>#N/A</v>
      </c>
      <c r="J318" s="21" t="e">
        <f>VLOOKUP($A318,MINASA!$A$1:$BA$1000,53,FALSE)</f>
        <v>#N/A</v>
      </c>
      <c r="L318" s="20" t="s">
        <v>14</v>
      </c>
      <c r="M318" s="20" t="e">
        <f t="shared" si="12"/>
        <v>#N/A</v>
      </c>
      <c r="N318" s="20" t="s">
        <v>438</v>
      </c>
    </row>
    <row r="319" spans="1:14" ht="81.75" customHeight="1" thickBot="1">
      <c r="A319" s="20">
        <v>318</v>
      </c>
      <c r="B319" s="24" t="e">
        <f>VLOOKUP($A319,MINASA!$A$1:$BA$1000,10,FALSE)</f>
        <v>#N/A</v>
      </c>
      <c r="C319" s="20" t="e">
        <f t="shared" si="11"/>
        <v>#N/A</v>
      </c>
      <c r="D319" s="20" t="e">
        <f>VLOOKUP($A319,MINASA!$A$1:$BA$1000,27,FALSE)</f>
        <v>#N/A</v>
      </c>
      <c r="E319" s="20" t="e">
        <f>VLOOKUP($A319,MINASA!$A$1:$BA$1000,26,FALSE)</f>
        <v>#N/A</v>
      </c>
      <c r="F319" s="21" t="e">
        <f>VLOOKUP($A319,MINASA!$A$1:$BA$1000,30,FALSE)</f>
        <v>#N/A</v>
      </c>
      <c r="G319" s="20" t="e">
        <f>VLOOKUP($A319,MINASA!$A$1:$BA$1000,31,FALSE)</f>
        <v>#N/A</v>
      </c>
      <c r="H319" s="20" t="e">
        <f>VLOOKUP($A319,MINASA!$A$1:$BA$1000,47,FALSE)</f>
        <v>#N/A</v>
      </c>
      <c r="I319" s="21" t="e">
        <f>VLOOKUP($A319,MINASA!$A$1:$BA$1000,52,FALSE)</f>
        <v>#N/A</v>
      </c>
      <c r="J319" s="21" t="e">
        <f>VLOOKUP($A319,MINASA!$A$1:$BA$1000,53,FALSE)</f>
        <v>#N/A</v>
      </c>
      <c r="L319" s="20" t="s">
        <v>14</v>
      </c>
      <c r="M319" s="20" t="e">
        <f t="shared" si="12"/>
        <v>#N/A</v>
      </c>
      <c r="N319" s="20" t="s">
        <v>439</v>
      </c>
    </row>
    <row r="320" spans="1:14" ht="81.75" customHeight="1" thickBot="1">
      <c r="A320" s="20">
        <v>319</v>
      </c>
      <c r="B320" s="24" t="e">
        <f>VLOOKUP($A320,MINASA!$A$1:$BA$1000,10,FALSE)</f>
        <v>#N/A</v>
      </c>
      <c r="C320" s="20" t="e">
        <f t="shared" si="11"/>
        <v>#N/A</v>
      </c>
      <c r="D320" s="20" t="e">
        <f>VLOOKUP($A320,MINASA!$A$1:$BA$1000,27,FALSE)</f>
        <v>#N/A</v>
      </c>
      <c r="E320" s="20" t="e">
        <f>VLOOKUP($A320,MINASA!$A$1:$BA$1000,26,FALSE)</f>
        <v>#N/A</v>
      </c>
      <c r="F320" s="21" t="e">
        <f>VLOOKUP($A320,MINASA!$A$1:$BA$1000,30,FALSE)</f>
        <v>#N/A</v>
      </c>
      <c r="G320" s="20" t="e">
        <f>VLOOKUP($A320,MINASA!$A$1:$BA$1000,31,FALSE)</f>
        <v>#N/A</v>
      </c>
      <c r="H320" s="20" t="e">
        <f>VLOOKUP($A320,MINASA!$A$1:$BA$1000,47,FALSE)</f>
        <v>#N/A</v>
      </c>
      <c r="I320" s="21" t="e">
        <f>VLOOKUP($A320,MINASA!$A$1:$BA$1000,52,FALSE)</f>
        <v>#N/A</v>
      </c>
      <c r="J320" s="21" t="e">
        <f>VLOOKUP($A320,MINASA!$A$1:$BA$1000,53,FALSE)</f>
        <v>#N/A</v>
      </c>
      <c r="L320" s="20" t="s">
        <v>14</v>
      </c>
      <c r="M320" s="20" t="e">
        <f t="shared" si="12"/>
        <v>#N/A</v>
      </c>
      <c r="N320" s="20" t="s">
        <v>440</v>
      </c>
    </row>
    <row r="321" spans="1:14" ht="81.75" customHeight="1" thickBot="1">
      <c r="A321" s="20">
        <v>320</v>
      </c>
      <c r="B321" s="24" t="e">
        <f>VLOOKUP($A321,MINASA!$A$1:$BA$1000,10,FALSE)</f>
        <v>#N/A</v>
      </c>
      <c r="C321" s="20" t="e">
        <f t="shared" si="11"/>
        <v>#N/A</v>
      </c>
      <c r="D321" s="20" t="e">
        <f>VLOOKUP($A321,MINASA!$A$1:$BA$1000,27,FALSE)</f>
        <v>#N/A</v>
      </c>
      <c r="E321" s="20" t="e">
        <f>VLOOKUP($A321,MINASA!$A$1:$BA$1000,26,FALSE)</f>
        <v>#N/A</v>
      </c>
      <c r="F321" s="21" t="e">
        <f>VLOOKUP($A321,MINASA!$A$1:$BA$1000,30,FALSE)</f>
        <v>#N/A</v>
      </c>
      <c r="G321" s="20" t="e">
        <f>VLOOKUP($A321,MINASA!$A$1:$BA$1000,31,FALSE)</f>
        <v>#N/A</v>
      </c>
      <c r="H321" s="20" t="e">
        <f>VLOOKUP($A321,MINASA!$A$1:$BA$1000,47,FALSE)</f>
        <v>#N/A</v>
      </c>
      <c r="I321" s="21" t="e">
        <f>VLOOKUP($A321,MINASA!$A$1:$BA$1000,52,FALSE)</f>
        <v>#N/A</v>
      </c>
      <c r="J321" s="21" t="e">
        <f>VLOOKUP($A321,MINASA!$A$1:$BA$1000,53,FALSE)</f>
        <v>#N/A</v>
      </c>
      <c r="L321" s="20" t="s">
        <v>14</v>
      </c>
      <c r="M321" s="20" t="e">
        <f t="shared" si="12"/>
        <v>#N/A</v>
      </c>
      <c r="N321" s="20" t="s">
        <v>441</v>
      </c>
    </row>
    <row r="322" spans="1:14" ht="81.75" customHeight="1" thickBot="1">
      <c r="A322" s="20">
        <v>321</v>
      </c>
      <c r="B322" s="24" t="e">
        <f>VLOOKUP($A322,MINASA!$A$1:$BA$1000,10,FALSE)</f>
        <v>#N/A</v>
      </c>
      <c r="C322" s="20" t="e">
        <f t="shared" si="11"/>
        <v>#N/A</v>
      </c>
      <c r="D322" s="20" t="e">
        <f>VLOOKUP($A322,MINASA!$A$1:$BA$1000,27,FALSE)</f>
        <v>#N/A</v>
      </c>
      <c r="E322" s="20" t="e">
        <f>VLOOKUP($A322,MINASA!$A$1:$BA$1000,26,FALSE)</f>
        <v>#N/A</v>
      </c>
      <c r="F322" s="21" t="e">
        <f>VLOOKUP($A322,MINASA!$A$1:$BA$1000,30,FALSE)</f>
        <v>#N/A</v>
      </c>
      <c r="G322" s="20" t="e">
        <f>VLOOKUP($A322,MINASA!$A$1:$BA$1000,31,FALSE)</f>
        <v>#N/A</v>
      </c>
      <c r="H322" s="20" t="e">
        <f>VLOOKUP($A322,MINASA!$A$1:$BA$1000,47,FALSE)</f>
        <v>#N/A</v>
      </c>
      <c r="I322" s="21" t="e">
        <f>VLOOKUP($A322,MINASA!$A$1:$BA$1000,52,FALSE)</f>
        <v>#N/A</v>
      </c>
      <c r="J322" s="21" t="e">
        <f>VLOOKUP($A322,MINASA!$A$1:$BA$1000,53,FALSE)</f>
        <v>#N/A</v>
      </c>
      <c r="L322" s="20" t="s">
        <v>14</v>
      </c>
      <c r="M322" s="20" t="e">
        <f t="shared" si="12"/>
        <v>#N/A</v>
      </c>
      <c r="N322" s="20" t="s">
        <v>442</v>
      </c>
    </row>
    <row r="323" spans="1:14" ht="81.75" customHeight="1" thickBot="1">
      <c r="A323" s="20">
        <v>322</v>
      </c>
      <c r="B323" s="24" t="e">
        <f>VLOOKUP($A323,MINASA!$A$1:$BA$1000,10,FALSE)</f>
        <v>#N/A</v>
      </c>
      <c r="C323" s="20" t="e">
        <f t="shared" si="11"/>
        <v>#N/A</v>
      </c>
      <c r="D323" s="20" t="e">
        <f>VLOOKUP($A323,MINASA!$A$1:$BA$1000,27,FALSE)</f>
        <v>#N/A</v>
      </c>
      <c r="E323" s="20" t="e">
        <f>VLOOKUP($A323,MINASA!$A$1:$BA$1000,26,FALSE)</f>
        <v>#N/A</v>
      </c>
      <c r="F323" s="21" t="e">
        <f>VLOOKUP($A323,MINASA!$A$1:$BA$1000,30,FALSE)</f>
        <v>#N/A</v>
      </c>
      <c r="G323" s="20" t="e">
        <f>VLOOKUP($A323,MINASA!$A$1:$BA$1000,31,FALSE)</f>
        <v>#N/A</v>
      </c>
      <c r="H323" s="20" t="e">
        <f>VLOOKUP($A323,MINASA!$A$1:$BA$1000,47,FALSE)</f>
        <v>#N/A</v>
      </c>
      <c r="I323" s="21" t="e">
        <f>VLOOKUP($A323,MINASA!$A$1:$BA$1000,52,FALSE)</f>
        <v>#N/A</v>
      </c>
      <c r="J323" s="21" t="e">
        <f>VLOOKUP($A323,MINASA!$A$1:$BA$1000,53,FALSE)</f>
        <v>#N/A</v>
      </c>
      <c r="L323" s="20" t="s">
        <v>14</v>
      </c>
      <c r="M323" s="20" t="e">
        <f t="shared" si="12"/>
        <v>#N/A</v>
      </c>
      <c r="N323" s="20" t="s">
        <v>443</v>
      </c>
    </row>
    <row r="324" spans="1:14" ht="81.75" customHeight="1" thickBot="1">
      <c r="A324" s="20">
        <v>323</v>
      </c>
      <c r="B324" s="24" t="e">
        <f>VLOOKUP($A324,MINASA!$A$1:$BA$1000,10,FALSE)</f>
        <v>#N/A</v>
      </c>
      <c r="C324" s="20" t="e">
        <f t="shared" si="11"/>
        <v>#N/A</v>
      </c>
      <c r="D324" s="20" t="e">
        <f>VLOOKUP($A324,MINASA!$A$1:$BA$1000,27,FALSE)</f>
        <v>#N/A</v>
      </c>
      <c r="E324" s="20" t="e">
        <f>VLOOKUP($A324,MINASA!$A$1:$BA$1000,26,FALSE)</f>
        <v>#N/A</v>
      </c>
      <c r="F324" s="21" t="e">
        <f>VLOOKUP($A324,MINASA!$A$1:$BA$1000,30,FALSE)</f>
        <v>#N/A</v>
      </c>
      <c r="G324" s="20" t="e">
        <f>VLOOKUP($A324,MINASA!$A$1:$BA$1000,31,FALSE)</f>
        <v>#N/A</v>
      </c>
      <c r="H324" s="20" t="e">
        <f>VLOOKUP($A324,MINASA!$A$1:$BA$1000,47,FALSE)</f>
        <v>#N/A</v>
      </c>
      <c r="I324" s="21" t="e">
        <f>VLOOKUP($A324,MINASA!$A$1:$BA$1000,52,FALSE)</f>
        <v>#N/A</v>
      </c>
      <c r="J324" s="21" t="e">
        <f>VLOOKUP($A324,MINASA!$A$1:$BA$1000,53,FALSE)</f>
        <v>#N/A</v>
      </c>
      <c r="L324" s="20" t="s">
        <v>14</v>
      </c>
      <c r="M324" s="20" t="e">
        <f t="shared" si="12"/>
        <v>#N/A</v>
      </c>
      <c r="N324" s="20" t="s">
        <v>444</v>
      </c>
    </row>
    <row r="325" spans="1:14" ht="81.75" customHeight="1" thickBot="1">
      <c r="A325" s="20">
        <v>324</v>
      </c>
      <c r="B325" s="24" t="e">
        <f>VLOOKUP($A325,MINASA!$A$1:$BA$1000,10,FALSE)</f>
        <v>#N/A</v>
      </c>
      <c r="C325" s="20" t="e">
        <f t="shared" si="11"/>
        <v>#N/A</v>
      </c>
      <c r="D325" s="20" t="e">
        <f>VLOOKUP($A325,MINASA!$A$1:$BA$1000,27,FALSE)</f>
        <v>#N/A</v>
      </c>
      <c r="E325" s="20" t="e">
        <f>VLOOKUP($A325,MINASA!$A$1:$BA$1000,26,FALSE)</f>
        <v>#N/A</v>
      </c>
      <c r="F325" s="21" t="e">
        <f>VLOOKUP($A325,MINASA!$A$1:$BA$1000,30,FALSE)</f>
        <v>#N/A</v>
      </c>
      <c r="G325" s="20" t="e">
        <f>VLOOKUP($A325,MINASA!$A$1:$BA$1000,31,FALSE)</f>
        <v>#N/A</v>
      </c>
      <c r="H325" s="20" t="e">
        <f>VLOOKUP($A325,MINASA!$A$1:$BA$1000,47,FALSE)</f>
        <v>#N/A</v>
      </c>
      <c r="I325" s="21" t="e">
        <f>VLOOKUP($A325,MINASA!$A$1:$BA$1000,52,FALSE)</f>
        <v>#N/A</v>
      </c>
      <c r="J325" s="21" t="e">
        <f>VLOOKUP($A325,MINASA!$A$1:$BA$1000,53,FALSE)</f>
        <v>#N/A</v>
      </c>
      <c r="L325" s="20" t="s">
        <v>14</v>
      </c>
      <c r="M325" s="20" t="e">
        <f t="shared" si="12"/>
        <v>#N/A</v>
      </c>
      <c r="N325" s="20" t="s">
        <v>445</v>
      </c>
    </row>
    <row r="326" spans="1:14" ht="81.75" customHeight="1" thickBot="1">
      <c r="A326" s="20">
        <v>325</v>
      </c>
      <c r="B326" s="24" t="e">
        <f>VLOOKUP($A326,MINASA!$A$1:$BA$1000,10,FALSE)</f>
        <v>#N/A</v>
      </c>
      <c r="C326" s="20" t="e">
        <f t="shared" si="11"/>
        <v>#N/A</v>
      </c>
      <c r="D326" s="20" t="e">
        <f>VLOOKUP($A326,MINASA!$A$1:$BA$1000,27,FALSE)</f>
        <v>#N/A</v>
      </c>
      <c r="E326" s="20" t="e">
        <f>VLOOKUP($A326,MINASA!$A$1:$BA$1000,26,FALSE)</f>
        <v>#N/A</v>
      </c>
      <c r="F326" s="21" t="e">
        <f>VLOOKUP($A326,MINASA!$A$1:$BA$1000,30,FALSE)</f>
        <v>#N/A</v>
      </c>
      <c r="G326" s="20" t="e">
        <f>VLOOKUP($A326,MINASA!$A$1:$BA$1000,31,FALSE)</f>
        <v>#N/A</v>
      </c>
      <c r="H326" s="20" t="e">
        <f>VLOOKUP($A326,MINASA!$A$1:$BA$1000,47,FALSE)</f>
        <v>#N/A</v>
      </c>
      <c r="I326" s="21" t="e">
        <f>VLOOKUP($A326,MINASA!$A$1:$BA$1000,52,FALSE)</f>
        <v>#N/A</v>
      </c>
      <c r="J326" s="21" t="e">
        <f>VLOOKUP($A326,MINASA!$A$1:$BA$1000,53,FALSE)</f>
        <v>#N/A</v>
      </c>
      <c r="L326" s="20" t="s">
        <v>14</v>
      </c>
      <c r="M326" s="20" t="e">
        <f t="shared" si="12"/>
        <v>#N/A</v>
      </c>
      <c r="N326" s="20" t="s">
        <v>446</v>
      </c>
    </row>
    <row r="327" spans="1:14" ht="81.75" customHeight="1" thickBot="1">
      <c r="A327" s="20">
        <v>326</v>
      </c>
      <c r="B327" s="24" t="e">
        <f>VLOOKUP($A327,MINASA!$A$1:$BA$1000,10,FALSE)</f>
        <v>#N/A</v>
      </c>
      <c r="C327" s="20" t="e">
        <f t="shared" si="11"/>
        <v>#N/A</v>
      </c>
      <c r="D327" s="20" t="e">
        <f>VLOOKUP($A327,MINASA!$A$1:$BA$1000,27,FALSE)</f>
        <v>#N/A</v>
      </c>
      <c r="E327" s="20" t="e">
        <f>VLOOKUP($A327,MINASA!$A$1:$BA$1000,26,FALSE)</f>
        <v>#N/A</v>
      </c>
      <c r="F327" s="21" t="e">
        <f>VLOOKUP($A327,MINASA!$A$1:$BA$1000,30,FALSE)</f>
        <v>#N/A</v>
      </c>
      <c r="G327" s="20" t="e">
        <f>VLOOKUP($A327,MINASA!$A$1:$BA$1000,31,FALSE)</f>
        <v>#N/A</v>
      </c>
      <c r="H327" s="20" t="e">
        <f>VLOOKUP($A327,MINASA!$A$1:$BA$1000,47,FALSE)</f>
        <v>#N/A</v>
      </c>
      <c r="I327" s="21" t="e">
        <f>VLOOKUP($A327,MINASA!$A$1:$BA$1000,52,FALSE)</f>
        <v>#N/A</v>
      </c>
      <c r="J327" s="21" t="e">
        <f>VLOOKUP($A327,MINASA!$A$1:$BA$1000,53,FALSE)</f>
        <v>#N/A</v>
      </c>
      <c r="L327" s="20" t="s">
        <v>14</v>
      </c>
      <c r="M327" s="20" t="e">
        <f t="shared" si="12"/>
        <v>#N/A</v>
      </c>
      <c r="N327" s="20" t="s">
        <v>447</v>
      </c>
    </row>
    <row r="328" spans="1:14" ht="81.75" customHeight="1" thickBot="1">
      <c r="A328" s="20">
        <v>327</v>
      </c>
      <c r="B328" s="24" t="e">
        <f>VLOOKUP($A328,MINASA!$A$1:$BA$1000,10,FALSE)</f>
        <v>#N/A</v>
      </c>
      <c r="C328" s="20" t="e">
        <f t="shared" si="11"/>
        <v>#N/A</v>
      </c>
      <c r="D328" s="20" t="e">
        <f>VLOOKUP($A328,MINASA!$A$1:$BA$1000,27,FALSE)</f>
        <v>#N/A</v>
      </c>
      <c r="E328" s="20" t="e">
        <f>VLOOKUP($A328,MINASA!$A$1:$BA$1000,26,FALSE)</f>
        <v>#N/A</v>
      </c>
      <c r="F328" s="21" t="e">
        <f>VLOOKUP($A328,MINASA!$A$1:$BA$1000,30,FALSE)</f>
        <v>#N/A</v>
      </c>
      <c r="G328" s="20" t="e">
        <f>VLOOKUP($A328,MINASA!$A$1:$BA$1000,31,FALSE)</f>
        <v>#N/A</v>
      </c>
      <c r="H328" s="20" t="e">
        <f>VLOOKUP($A328,MINASA!$A$1:$BA$1000,47,FALSE)</f>
        <v>#N/A</v>
      </c>
      <c r="I328" s="21" t="e">
        <f>VLOOKUP($A328,MINASA!$A$1:$BA$1000,52,FALSE)</f>
        <v>#N/A</v>
      </c>
      <c r="J328" s="21" t="e">
        <f>VLOOKUP($A328,MINASA!$A$1:$BA$1000,53,FALSE)</f>
        <v>#N/A</v>
      </c>
      <c r="L328" s="20" t="s">
        <v>14</v>
      </c>
      <c r="M328" s="20" t="e">
        <f t="shared" si="12"/>
        <v>#N/A</v>
      </c>
      <c r="N328" s="20" t="s">
        <v>448</v>
      </c>
    </row>
    <row r="329" spans="1:14" ht="81.75" customHeight="1" thickBot="1">
      <c r="A329" s="20">
        <v>328</v>
      </c>
      <c r="B329" s="24" t="e">
        <f>VLOOKUP($A329,MINASA!$A$1:$BA$1000,10,FALSE)</f>
        <v>#N/A</v>
      </c>
      <c r="C329" s="20" t="e">
        <f t="shared" si="11"/>
        <v>#N/A</v>
      </c>
      <c r="D329" s="20" t="e">
        <f>VLOOKUP($A329,MINASA!$A$1:$BA$1000,27,FALSE)</f>
        <v>#N/A</v>
      </c>
      <c r="E329" s="20" t="e">
        <f>VLOOKUP($A329,MINASA!$A$1:$BA$1000,26,FALSE)</f>
        <v>#N/A</v>
      </c>
      <c r="F329" s="21" t="e">
        <f>VLOOKUP($A329,MINASA!$A$1:$BA$1000,30,FALSE)</f>
        <v>#N/A</v>
      </c>
      <c r="G329" s="20" t="e">
        <f>VLOOKUP($A329,MINASA!$A$1:$BA$1000,31,FALSE)</f>
        <v>#N/A</v>
      </c>
      <c r="H329" s="20" t="e">
        <f>VLOOKUP($A329,MINASA!$A$1:$BA$1000,47,FALSE)</f>
        <v>#N/A</v>
      </c>
      <c r="I329" s="21" t="e">
        <f>VLOOKUP($A329,MINASA!$A$1:$BA$1000,52,FALSE)</f>
        <v>#N/A</v>
      </c>
      <c r="J329" s="21" t="e">
        <f>VLOOKUP($A329,MINASA!$A$1:$BA$1000,53,FALSE)</f>
        <v>#N/A</v>
      </c>
      <c r="L329" s="20" t="s">
        <v>14</v>
      </c>
      <c r="M329" s="20" t="e">
        <f t="shared" si="12"/>
        <v>#N/A</v>
      </c>
      <c r="N329" s="20" t="s">
        <v>449</v>
      </c>
    </row>
    <row r="330" spans="1:14" ht="81.75" customHeight="1" thickBot="1">
      <c r="A330" s="20">
        <v>329</v>
      </c>
      <c r="B330" s="24" t="e">
        <f>VLOOKUP($A330,MINASA!$A$1:$BA$1000,10,FALSE)</f>
        <v>#N/A</v>
      </c>
      <c r="C330" s="20" t="e">
        <f t="shared" si="11"/>
        <v>#N/A</v>
      </c>
      <c r="D330" s="20" t="e">
        <f>VLOOKUP($A330,MINASA!$A$1:$BA$1000,27,FALSE)</f>
        <v>#N/A</v>
      </c>
      <c r="E330" s="20" t="e">
        <f>VLOOKUP($A330,MINASA!$A$1:$BA$1000,26,FALSE)</f>
        <v>#N/A</v>
      </c>
      <c r="F330" s="21" t="e">
        <f>VLOOKUP($A330,MINASA!$A$1:$BA$1000,30,FALSE)</f>
        <v>#N/A</v>
      </c>
      <c r="G330" s="20" t="e">
        <f>VLOOKUP($A330,MINASA!$A$1:$BA$1000,31,FALSE)</f>
        <v>#N/A</v>
      </c>
      <c r="H330" s="20" t="e">
        <f>VLOOKUP($A330,MINASA!$A$1:$BA$1000,47,FALSE)</f>
        <v>#N/A</v>
      </c>
      <c r="I330" s="21" t="e">
        <f>VLOOKUP($A330,MINASA!$A$1:$BA$1000,52,FALSE)</f>
        <v>#N/A</v>
      </c>
      <c r="J330" s="21" t="e">
        <f>VLOOKUP($A330,MINASA!$A$1:$BA$1000,53,FALSE)</f>
        <v>#N/A</v>
      </c>
      <c r="L330" s="20" t="s">
        <v>14</v>
      </c>
      <c r="M330" s="20" t="e">
        <f t="shared" si="12"/>
        <v>#N/A</v>
      </c>
      <c r="N330" s="20" t="s">
        <v>450</v>
      </c>
    </row>
    <row r="331" spans="1:14" ht="81.75" customHeight="1" thickBot="1">
      <c r="A331" s="20">
        <v>330</v>
      </c>
      <c r="B331" s="24" t="e">
        <f>VLOOKUP($A331,MINASA!$A$1:$BA$1000,10,FALSE)</f>
        <v>#N/A</v>
      </c>
      <c r="C331" s="20" t="e">
        <f t="shared" si="11"/>
        <v>#N/A</v>
      </c>
      <c r="D331" s="20" t="e">
        <f>VLOOKUP($A331,MINASA!$A$1:$BA$1000,27,FALSE)</f>
        <v>#N/A</v>
      </c>
      <c r="E331" s="20" t="e">
        <f>VLOOKUP($A331,MINASA!$A$1:$BA$1000,26,FALSE)</f>
        <v>#N/A</v>
      </c>
      <c r="F331" s="21" t="e">
        <f>VLOOKUP($A331,MINASA!$A$1:$BA$1000,30,FALSE)</f>
        <v>#N/A</v>
      </c>
      <c r="G331" s="20" t="e">
        <f>VLOOKUP($A331,MINASA!$A$1:$BA$1000,31,FALSE)</f>
        <v>#N/A</v>
      </c>
      <c r="H331" s="20" t="e">
        <f>VLOOKUP($A331,MINASA!$A$1:$BA$1000,47,FALSE)</f>
        <v>#N/A</v>
      </c>
      <c r="I331" s="21" t="e">
        <f>VLOOKUP($A331,MINASA!$A$1:$BA$1000,52,FALSE)</f>
        <v>#N/A</v>
      </c>
      <c r="J331" s="21" t="e">
        <f>VLOOKUP($A331,MINASA!$A$1:$BA$1000,53,FALSE)</f>
        <v>#N/A</v>
      </c>
      <c r="L331" s="20" t="s">
        <v>14</v>
      </c>
      <c r="M331" s="20" t="e">
        <f t="shared" si="12"/>
        <v>#N/A</v>
      </c>
      <c r="N331" s="20" t="s">
        <v>451</v>
      </c>
    </row>
    <row r="332" spans="1:14" ht="81.75" customHeight="1" thickBot="1">
      <c r="A332" s="20">
        <v>331</v>
      </c>
      <c r="B332" s="24" t="e">
        <f>VLOOKUP($A332,MINASA!$A$1:$BA$1000,10,FALSE)</f>
        <v>#N/A</v>
      </c>
      <c r="C332" s="20" t="e">
        <f t="shared" si="11"/>
        <v>#N/A</v>
      </c>
      <c r="D332" s="20" t="e">
        <f>VLOOKUP($A332,MINASA!$A$1:$BA$1000,27,FALSE)</f>
        <v>#N/A</v>
      </c>
      <c r="E332" s="20" t="e">
        <f>VLOOKUP($A332,MINASA!$A$1:$BA$1000,26,FALSE)</f>
        <v>#N/A</v>
      </c>
      <c r="F332" s="21" t="e">
        <f>VLOOKUP($A332,MINASA!$A$1:$BA$1000,30,FALSE)</f>
        <v>#N/A</v>
      </c>
      <c r="G332" s="20" t="e">
        <f>VLOOKUP($A332,MINASA!$A$1:$BA$1000,31,FALSE)</f>
        <v>#N/A</v>
      </c>
      <c r="H332" s="20" t="e">
        <f>VLOOKUP($A332,MINASA!$A$1:$BA$1000,47,FALSE)</f>
        <v>#N/A</v>
      </c>
      <c r="I332" s="21" t="e">
        <f>VLOOKUP($A332,MINASA!$A$1:$BA$1000,52,FALSE)</f>
        <v>#N/A</v>
      </c>
      <c r="J332" s="21" t="e">
        <f>VLOOKUP($A332,MINASA!$A$1:$BA$1000,53,FALSE)</f>
        <v>#N/A</v>
      </c>
      <c r="L332" s="20" t="s">
        <v>14</v>
      </c>
      <c r="M332" s="20" t="e">
        <f t="shared" si="12"/>
        <v>#N/A</v>
      </c>
      <c r="N332" s="20" t="s">
        <v>452</v>
      </c>
    </row>
    <row r="333" spans="1:14" ht="81.75" customHeight="1" thickBot="1">
      <c r="A333" s="20">
        <v>332</v>
      </c>
      <c r="B333" s="24" t="e">
        <f>VLOOKUP($A333,MINASA!$A$1:$BA$1000,10,FALSE)</f>
        <v>#N/A</v>
      </c>
      <c r="C333" s="20" t="e">
        <f t="shared" si="11"/>
        <v>#N/A</v>
      </c>
      <c r="D333" s="20" t="e">
        <f>VLOOKUP($A333,MINASA!$A$1:$BA$1000,27,FALSE)</f>
        <v>#N/A</v>
      </c>
      <c r="E333" s="20" t="e">
        <f>VLOOKUP($A333,MINASA!$A$1:$BA$1000,26,FALSE)</f>
        <v>#N/A</v>
      </c>
      <c r="F333" s="21" t="e">
        <f>VLOOKUP($A333,MINASA!$A$1:$BA$1000,30,FALSE)</f>
        <v>#N/A</v>
      </c>
      <c r="G333" s="20" t="e">
        <f>VLOOKUP($A333,MINASA!$A$1:$BA$1000,31,FALSE)</f>
        <v>#N/A</v>
      </c>
      <c r="H333" s="20" t="e">
        <f>VLOOKUP($A333,MINASA!$A$1:$BA$1000,47,FALSE)</f>
        <v>#N/A</v>
      </c>
      <c r="I333" s="21" t="e">
        <f>VLOOKUP($A333,MINASA!$A$1:$BA$1000,52,FALSE)</f>
        <v>#N/A</v>
      </c>
      <c r="J333" s="21" t="e">
        <f>VLOOKUP($A333,MINASA!$A$1:$BA$1000,53,FALSE)</f>
        <v>#N/A</v>
      </c>
      <c r="L333" s="20" t="s">
        <v>14</v>
      </c>
      <c r="M333" s="20" t="e">
        <f t="shared" si="12"/>
        <v>#N/A</v>
      </c>
      <c r="N333" s="20" t="s">
        <v>453</v>
      </c>
    </row>
    <row r="334" spans="1:14" ht="81.75" customHeight="1" thickBot="1">
      <c r="A334" s="20">
        <v>333</v>
      </c>
      <c r="B334" s="24" t="e">
        <f>VLOOKUP($A334,MINASA!$A$1:$BA$1000,10,FALSE)</f>
        <v>#N/A</v>
      </c>
      <c r="C334" s="20" t="e">
        <f t="shared" si="11"/>
        <v>#N/A</v>
      </c>
      <c r="D334" s="20" t="e">
        <f>VLOOKUP($A334,MINASA!$A$1:$BA$1000,27,FALSE)</f>
        <v>#N/A</v>
      </c>
      <c r="E334" s="20" t="e">
        <f>VLOOKUP($A334,MINASA!$A$1:$BA$1000,26,FALSE)</f>
        <v>#N/A</v>
      </c>
      <c r="F334" s="21" t="e">
        <f>VLOOKUP($A334,MINASA!$A$1:$BA$1000,30,FALSE)</f>
        <v>#N/A</v>
      </c>
      <c r="G334" s="20" t="e">
        <f>VLOOKUP($A334,MINASA!$A$1:$BA$1000,31,FALSE)</f>
        <v>#N/A</v>
      </c>
      <c r="H334" s="20" t="e">
        <f>VLOOKUP($A334,MINASA!$A$1:$BA$1000,47,FALSE)</f>
        <v>#N/A</v>
      </c>
      <c r="I334" s="21" t="e">
        <f>VLOOKUP($A334,MINASA!$A$1:$BA$1000,52,FALSE)</f>
        <v>#N/A</v>
      </c>
      <c r="J334" s="21" t="e">
        <f>VLOOKUP($A334,MINASA!$A$1:$BA$1000,53,FALSE)</f>
        <v>#N/A</v>
      </c>
      <c r="L334" s="20" t="s">
        <v>14</v>
      </c>
      <c r="M334" s="20" t="e">
        <f t="shared" si="12"/>
        <v>#N/A</v>
      </c>
      <c r="N334" s="20" t="s">
        <v>454</v>
      </c>
    </row>
    <row r="335" spans="1:14" ht="81.75" customHeight="1" thickBot="1">
      <c r="A335" s="20">
        <v>334</v>
      </c>
      <c r="B335" s="24" t="e">
        <f>VLOOKUP($A335,MINASA!$A$1:$BA$1000,10,FALSE)</f>
        <v>#N/A</v>
      </c>
      <c r="C335" s="20" t="e">
        <f t="shared" si="11"/>
        <v>#N/A</v>
      </c>
      <c r="D335" s="20" t="e">
        <f>VLOOKUP($A335,MINASA!$A$1:$BA$1000,27,FALSE)</f>
        <v>#N/A</v>
      </c>
      <c r="E335" s="20" t="e">
        <f>VLOOKUP($A335,MINASA!$A$1:$BA$1000,26,FALSE)</f>
        <v>#N/A</v>
      </c>
      <c r="F335" s="21" t="e">
        <f>VLOOKUP($A335,MINASA!$A$1:$BA$1000,30,FALSE)</f>
        <v>#N/A</v>
      </c>
      <c r="G335" s="20" t="e">
        <f>VLOOKUP($A335,MINASA!$A$1:$BA$1000,31,FALSE)</f>
        <v>#N/A</v>
      </c>
      <c r="H335" s="20" t="e">
        <f>VLOOKUP($A335,MINASA!$A$1:$BA$1000,47,FALSE)</f>
        <v>#N/A</v>
      </c>
      <c r="I335" s="21" t="e">
        <f>VLOOKUP($A335,MINASA!$A$1:$BA$1000,52,FALSE)</f>
        <v>#N/A</v>
      </c>
      <c r="J335" s="21" t="e">
        <f>VLOOKUP($A335,MINASA!$A$1:$BA$1000,53,FALSE)</f>
        <v>#N/A</v>
      </c>
      <c r="L335" s="20" t="s">
        <v>14</v>
      </c>
      <c r="M335" s="20" t="e">
        <f t="shared" si="12"/>
        <v>#N/A</v>
      </c>
      <c r="N335" s="20" t="s">
        <v>455</v>
      </c>
    </row>
    <row r="336" spans="1:14" ht="81.75" customHeight="1" thickBot="1">
      <c r="A336" s="20">
        <v>335</v>
      </c>
      <c r="B336" s="24" t="e">
        <f>VLOOKUP($A336,MINASA!$A$1:$BA$1000,10,FALSE)</f>
        <v>#N/A</v>
      </c>
      <c r="C336" s="20" t="e">
        <f t="shared" si="11"/>
        <v>#N/A</v>
      </c>
      <c r="D336" s="20" t="e">
        <f>VLOOKUP($A336,MINASA!$A$1:$BA$1000,27,FALSE)</f>
        <v>#N/A</v>
      </c>
      <c r="E336" s="20" t="e">
        <f>VLOOKUP($A336,MINASA!$A$1:$BA$1000,26,FALSE)</f>
        <v>#N/A</v>
      </c>
      <c r="F336" s="21" t="e">
        <f>VLOOKUP($A336,MINASA!$A$1:$BA$1000,30,FALSE)</f>
        <v>#N/A</v>
      </c>
      <c r="G336" s="20" t="e">
        <f>VLOOKUP($A336,MINASA!$A$1:$BA$1000,31,FALSE)</f>
        <v>#N/A</v>
      </c>
      <c r="H336" s="20" t="e">
        <f>VLOOKUP($A336,MINASA!$A$1:$BA$1000,47,FALSE)</f>
        <v>#N/A</v>
      </c>
      <c r="I336" s="21" t="e">
        <f>VLOOKUP($A336,MINASA!$A$1:$BA$1000,52,FALSE)</f>
        <v>#N/A</v>
      </c>
      <c r="J336" s="21" t="e">
        <f>VLOOKUP($A336,MINASA!$A$1:$BA$1000,53,FALSE)</f>
        <v>#N/A</v>
      </c>
      <c r="L336" s="20" t="s">
        <v>14</v>
      </c>
      <c r="M336" s="20" t="e">
        <f t="shared" si="12"/>
        <v>#N/A</v>
      </c>
      <c r="N336" s="20" t="s">
        <v>456</v>
      </c>
    </row>
    <row r="337" spans="1:14" ht="81.75" customHeight="1" thickBot="1">
      <c r="A337" s="20">
        <v>336</v>
      </c>
      <c r="B337" s="24" t="e">
        <f>VLOOKUP($A337,MINASA!$A$1:$BA$1000,10,FALSE)</f>
        <v>#N/A</v>
      </c>
      <c r="C337" s="20" t="e">
        <f t="shared" si="11"/>
        <v>#N/A</v>
      </c>
      <c r="D337" s="20" t="e">
        <f>VLOOKUP($A337,MINASA!$A$1:$BA$1000,27,FALSE)</f>
        <v>#N/A</v>
      </c>
      <c r="E337" s="20" t="e">
        <f>VLOOKUP($A337,MINASA!$A$1:$BA$1000,26,FALSE)</f>
        <v>#N/A</v>
      </c>
      <c r="F337" s="21" t="e">
        <f>VLOOKUP($A337,MINASA!$A$1:$BA$1000,30,FALSE)</f>
        <v>#N/A</v>
      </c>
      <c r="G337" s="20" t="e">
        <f>VLOOKUP($A337,MINASA!$A$1:$BA$1000,31,FALSE)</f>
        <v>#N/A</v>
      </c>
      <c r="H337" s="20" t="e">
        <f>VLOOKUP($A337,MINASA!$A$1:$BA$1000,47,FALSE)</f>
        <v>#N/A</v>
      </c>
      <c r="I337" s="21" t="e">
        <f>VLOOKUP($A337,MINASA!$A$1:$BA$1000,52,FALSE)</f>
        <v>#N/A</v>
      </c>
      <c r="J337" s="21" t="e">
        <f>VLOOKUP($A337,MINASA!$A$1:$BA$1000,53,FALSE)</f>
        <v>#N/A</v>
      </c>
      <c r="L337" s="20" t="s">
        <v>14</v>
      </c>
      <c r="M337" s="20" t="e">
        <f t="shared" si="12"/>
        <v>#N/A</v>
      </c>
      <c r="N337" s="20" t="s">
        <v>457</v>
      </c>
    </row>
    <row r="338" spans="1:14" ht="81.75" customHeight="1" thickBot="1">
      <c r="A338" s="20">
        <v>337</v>
      </c>
      <c r="B338" s="24" t="e">
        <f>VLOOKUP($A338,MINASA!$A$1:$BA$1000,10,FALSE)</f>
        <v>#N/A</v>
      </c>
      <c r="C338" s="20" t="e">
        <f t="shared" si="11"/>
        <v>#N/A</v>
      </c>
      <c r="D338" s="20" t="e">
        <f>VLOOKUP($A338,MINASA!$A$1:$BA$1000,27,FALSE)</f>
        <v>#N/A</v>
      </c>
      <c r="E338" s="20" t="e">
        <f>VLOOKUP($A338,MINASA!$A$1:$BA$1000,26,FALSE)</f>
        <v>#N/A</v>
      </c>
      <c r="F338" s="21" t="e">
        <f>VLOOKUP($A338,MINASA!$A$1:$BA$1000,30,FALSE)</f>
        <v>#N/A</v>
      </c>
      <c r="G338" s="20" t="e">
        <f>VLOOKUP($A338,MINASA!$A$1:$BA$1000,31,FALSE)</f>
        <v>#N/A</v>
      </c>
      <c r="H338" s="20" t="e">
        <f>VLOOKUP($A338,MINASA!$A$1:$BA$1000,47,FALSE)</f>
        <v>#N/A</v>
      </c>
      <c r="I338" s="21" t="e">
        <f>VLOOKUP($A338,MINASA!$A$1:$BA$1000,52,FALSE)</f>
        <v>#N/A</v>
      </c>
      <c r="J338" s="21" t="e">
        <f>VLOOKUP($A338,MINASA!$A$1:$BA$1000,53,FALSE)</f>
        <v>#N/A</v>
      </c>
      <c r="L338" s="20" t="s">
        <v>14</v>
      </c>
      <c r="M338" s="20" t="e">
        <f t="shared" si="12"/>
        <v>#N/A</v>
      </c>
      <c r="N338" s="20" t="s">
        <v>458</v>
      </c>
    </row>
    <row r="339" spans="1:14" ht="81.75" customHeight="1" thickBot="1">
      <c r="A339" s="20">
        <v>338</v>
      </c>
      <c r="B339" s="24" t="e">
        <f>VLOOKUP($A339,MINASA!$A$1:$BA$1000,10,FALSE)</f>
        <v>#N/A</v>
      </c>
      <c r="C339" s="20" t="e">
        <f t="shared" si="11"/>
        <v>#N/A</v>
      </c>
      <c r="D339" s="20" t="e">
        <f>VLOOKUP($A339,MINASA!$A$1:$BA$1000,27,FALSE)</f>
        <v>#N/A</v>
      </c>
      <c r="E339" s="20" t="e">
        <f>VLOOKUP($A339,MINASA!$A$1:$BA$1000,26,FALSE)</f>
        <v>#N/A</v>
      </c>
      <c r="F339" s="21" t="e">
        <f>VLOOKUP($A339,MINASA!$A$1:$BA$1000,30,FALSE)</f>
        <v>#N/A</v>
      </c>
      <c r="G339" s="20" t="e">
        <f>VLOOKUP($A339,MINASA!$A$1:$BA$1000,31,FALSE)</f>
        <v>#N/A</v>
      </c>
      <c r="H339" s="20" t="e">
        <f>VLOOKUP($A339,MINASA!$A$1:$BA$1000,47,FALSE)</f>
        <v>#N/A</v>
      </c>
      <c r="I339" s="21" t="e">
        <f>VLOOKUP($A339,MINASA!$A$1:$BA$1000,52,FALSE)</f>
        <v>#N/A</v>
      </c>
      <c r="J339" s="21" t="e">
        <f>VLOOKUP($A339,MINASA!$A$1:$BA$1000,53,FALSE)</f>
        <v>#N/A</v>
      </c>
      <c r="L339" s="20" t="s">
        <v>14</v>
      </c>
      <c r="M339" s="20" t="e">
        <f t="shared" si="12"/>
        <v>#N/A</v>
      </c>
      <c r="N339" s="20" t="s">
        <v>459</v>
      </c>
    </row>
    <row r="340" spans="1:14" ht="81.75" customHeight="1" thickBot="1">
      <c r="A340" s="20">
        <v>339</v>
      </c>
      <c r="B340" s="24" t="e">
        <f>VLOOKUP($A340,MINASA!$A$1:$BA$1000,10,FALSE)</f>
        <v>#N/A</v>
      </c>
      <c r="C340" s="20" t="e">
        <f t="shared" si="11"/>
        <v>#N/A</v>
      </c>
      <c r="D340" s="20" t="e">
        <f>VLOOKUP($A340,MINASA!$A$1:$BA$1000,27,FALSE)</f>
        <v>#N/A</v>
      </c>
      <c r="E340" s="20" t="e">
        <f>VLOOKUP($A340,MINASA!$A$1:$BA$1000,26,FALSE)</f>
        <v>#N/A</v>
      </c>
      <c r="F340" s="21" t="e">
        <f>VLOOKUP($A340,MINASA!$A$1:$BA$1000,30,FALSE)</f>
        <v>#N/A</v>
      </c>
      <c r="G340" s="20" t="e">
        <f>VLOOKUP($A340,MINASA!$A$1:$BA$1000,31,FALSE)</f>
        <v>#N/A</v>
      </c>
      <c r="H340" s="20" t="e">
        <f>VLOOKUP($A340,MINASA!$A$1:$BA$1000,47,FALSE)</f>
        <v>#N/A</v>
      </c>
      <c r="I340" s="21" t="e">
        <f>VLOOKUP($A340,MINASA!$A$1:$BA$1000,52,FALSE)</f>
        <v>#N/A</v>
      </c>
      <c r="J340" s="21" t="e">
        <f>VLOOKUP($A340,MINASA!$A$1:$BA$1000,53,FALSE)</f>
        <v>#N/A</v>
      </c>
      <c r="L340" s="20" t="s">
        <v>14</v>
      </c>
      <c r="M340" s="20" t="e">
        <f t="shared" si="12"/>
        <v>#N/A</v>
      </c>
      <c r="N340" s="20" t="s">
        <v>460</v>
      </c>
    </row>
    <row r="341" spans="1:14" ht="81.75" customHeight="1" thickBot="1">
      <c r="A341" s="20">
        <v>340</v>
      </c>
      <c r="B341" s="24" t="e">
        <f>VLOOKUP($A341,MINASA!$A$1:$BA$1000,10,FALSE)</f>
        <v>#N/A</v>
      </c>
      <c r="C341" s="20" t="e">
        <f t="shared" si="11"/>
        <v>#N/A</v>
      </c>
      <c r="D341" s="20" t="e">
        <f>VLOOKUP($A341,MINASA!$A$1:$BA$1000,27,FALSE)</f>
        <v>#N/A</v>
      </c>
      <c r="E341" s="20" t="e">
        <f>VLOOKUP($A341,MINASA!$A$1:$BA$1000,26,FALSE)</f>
        <v>#N/A</v>
      </c>
      <c r="F341" s="21" t="e">
        <f>VLOOKUP($A341,MINASA!$A$1:$BA$1000,30,FALSE)</f>
        <v>#N/A</v>
      </c>
      <c r="G341" s="20" t="e">
        <f>VLOOKUP($A341,MINASA!$A$1:$BA$1000,31,FALSE)</f>
        <v>#N/A</v>
      </c>
      <c r="H341" s="20" t="e">
        <f>VLOOKUP($A341,MINASA!$A$1:$BA$1000,47,FALSE)</f>
        <v>#N/A</v>
      </c>
      <c r="I341" s="21" t="e">
        <f>VLOOKUP($A341,MINASA!$A$1:$BA$1000,52,FALSE)</f>
        <v>#N/A</v>
      </c>
      <c r="J341" s="21" t="e">
        <f>VLOOKUP($A341,MINASA!$A$1:$BA$1000,53,FALSE)</f>
        <v>#N/A</v>
      </c>
      <c r="L341" s="20" t="s">
        <v>14</v>
      </c>
      <c r="M341" s="20" t="e">
        <f t="shared" si="12"/>
        <v>#N/A</v>
      </c>
      <c r="N341" s="20" t="s">
        <v>461</v>
      </c>
    </row>
    <row r="342" spans="1:14" ht="81.75" customHeight="1" thickBot="1">
      <c r="A342" s="20">
        <v>341</v>
      </c>
      <c r="B342" s="24" t="e">
        <f>VLOOKUP($A342,MINASA!$A$1:$BA$1000,10,FALSE)</f>
        <v>#N/A</v>
      </c>
      <c r="C342" s="20" t="e">
        <f t="shared" si="11"/>
        <v>#N/A</v>
      </c>
      <c r="D342" s="20" t="e">
        <f>VLOOKUP($A342,MINASA!$A$1:$BA$1000,27,FALSE)</f>
        <v>#N/A</v>
      </c>
      <c r="E342" s="20" t="e">
        <f>VLOOKUP($A342,MINASA!$A$1:$BA$1000,26,FALSE)</f>
        <v>#N/A</v>
      </c>
      <c r="F342" s="21" t="e">
        <f>VLOOKUP($A342,MINASA!$A$1:$BA$1000,30,FALSE)</f>
        <v>#N/A</v>
      </c>
      <c r="G342" s="20" t="e">
        <f>VLOOKUP($A342,MINASA!$A$1:$BA$1000,31,FALSE)</f>
        <v>#N/A</v>
      </c>
      <c r="H342" s="20" t="e">
        <f>VLOOKUP($A342,MINASA!$A$1:$BA$1000,47,FALSE)</f>
        <v>#N/A</v>
      </c>
      <c r="I342" s="21" t="e">
        <f>VLOOKUP($A342,MINASA!$A$1:$BA$1000,52,FALSE)</f>
        <v>#N/A</v>
      </c>
      <c r="J342" s="21" t="e">
        <f>VLOOKUP($A342,MINASA!$A$1:$BA$1000,53,FALSE)</f>
        <v>#N/A</v>
      </c>
      <c r="L342" s="20" t="s">
        <v>14</v>
      </c>
      <c r="M342" s="20" t="e">
        <f t="shared" si="12"/>
        <v>#N/A</v>
      </c>
      <c r="N342" s="20" t="s">
        <v>462</v>
      </c>
    </row>
    <row r="343" spans="1:14" ht="81.75" customHeight="1" thickBot="1">
      <c r="A343" s="20">
        <v>342</v>
      </c>
      <c r="B343" s="24" t="e">
        <f>VLOOKUP($A343,MINASA!$A$1:$BA$1000,10,FALSE)</f>
        <v>#N/A</v>
      </c>
      <c r="C343" s="20" t="e">
        <f t="shared" si="11"/>
        <v>#N/A</v>
      </c>
      <c r="D343" s="20" t="e">
        <f>VLOOKUP($A343,MINASA!$A$1:$BA$1000,27,FALSE)</f>
        <v>#N/A</v>
      </c>
      <c r="E343" s="20" t="e">
        <f>VLOOKUP($A343,MINASA!$A$1:$BA$1000,26,FALSE)</f>
        <v>#N/A</v>
      </c>
      <c r="F343" s="21" t="e">
        <f>VLOOKUP($A343,MINASA!$A$1:$BA$1000,30,FALSE)</f>
        <v>#N/A</v>
      </c>
      <c r="G343" s="20" t="e">
        <f>VLOOKUP($A343,MINASA!$A$1:$BA$1000,31,FALSE)</f>
        <v>#N/A</v>
      </c>
      <c r="H343" s="20" t="e">
        <f>VLOOKUP($A343,MINASA!$A$1:$BA$1000,47,FALSE)</f>
        <v>#N/A</v>
      </c>
      <c r="I343" s="21" t="e">
        <f>VLOOKUP($A343,MINASA!$A$1:$BA$1000,52,FALSE)</f>
        <v>#N/A</v>
      </c>
      <c r="J343" s="21" t="e">
        <f>VLOOKUP($A343,MINASA!$A$1:$BA$1000,53,FALSE)</f>
        <v>#N/A</v>
      </c>
      <c r="L343" s="20" t="s">
        <v>14</v>
      </c>
      <c r="M343" s="20" t="e">
        <f t="shared" si="12"/>
        <v>#N/A</v>
      </c>
      <c r="N343" s="20" t="s">
        <v>463</v>
      </c>
    </row>
    <row r="344" spans="1:14" ht="81.75" customHeight="1" thickBot="1">
      <c r="A344" s="20">
        <v>343</v>
      </c>
      <c r="B344" s="24" t="e">
        <f>VLOOKUP($A344,MINASA!$A$1:$BA$1000,10,FALSE)</f>
        <v>#N/A</v>
      </c>
      <c r="C344" s="20" t="e">
        <f t="shared" si="11"/>
        <v>#N/A</v>
      </c>
      <c r="D344" s="20" t="e">
        <f>VLOOKUP($A344,MINASA!$A$1:$BA$1000,27,FALSE)</f>
        <v>#N/A</v>
      </c>
      <c r="E344" s="20" t="e">
        <f>VLOOKUP($A344,MINASA!$A$1:$BA$1000,26,FALSE)</f>
        <v>#N/A</v>
      </c>
      <c r="F344" s="21" t="e">
        <f>VLOOKUP($A344,MINASA!$A$1:$BA$1000,30,FALSE)</f>
        <v>#N/A</v>
      </c>
      <c r="G344" s="20" t="e">
        <f>VLOOKUP($A344,MINASA!$A$1:$BA$1000,31,FALSE)</f>
        <v>#N/A</v>
      </c>
      <c r="H344" s="20" t="e">
        <f>VLOOKUP($A344,MINASA!$A$1:$BA$1000,47,FALSE)</f>
        <v>#N/A</v>
      </c>
      <c r="I344" s="21" t="e">
        <f>VLOOKUP($A344,MINASA!$A$1:$BA$1000,52,FALSE)</f>
        <v>#N/A</v>
      </c>
      <c r="J344" s="21" t="e">
        <f>VLOOKUP($A344,MINASA!$A$1:$BA$1000,53,FALSE)</f>
        <v>#N/A</v>
      </c>
      <c r="L344" s="20" t="s">
        <v>14</v>
      </c>
      <c r="M344" s="20" t="e">
        <f t="shared" si="12"/>
        <v>#N/A</v>
      </c>
      <c r="N344" s="20" t="s">
        <v>464</v>
      </c>
    </row>
    <row r="345" spans="1:14" ht="81.75" customHeight="1" thickBot="1">
      <c r="A345" s="20">
        <v>344</v>
      </c>
      <c r="B345" s="24" t="e">
        <f>VLOOKUP($A345,MINASA!$A$1:$BA$1000,10,FALSE)</f>
        <v>#N/A</v>
      </c>
      <c r="C345" s="20" t="e">
        <f t="shared" si="11"/>
        <v>#N/A</v>
      </c>
      <c r="D345" s="20" t="e">
        <f>VLOOKUP($A345,MINASA!$A$1:$BA$1000,27,FALSE)</f>
        <v>#N/A</v>
      </c>
      <c r="E345" s="20" t="e">
        <f>VLOOKUP($A345,MINASA!$A$1:$BA$1000,26,FALSE)</f>
        <v>#N/A</v>
      </c>
      <c r="F345" s="21" t="e">
        <f>VLOOKUP($A345,MINASA!$A$1:$BA$1000,30,FALSE)</f>
        <v>#N/A</v>
      </c>
      <c r="G345" s="20" t="e">
        <f>VLOOKUP($A345,MINASA!$A$1:$BA$1000,31,FALSE)</f>
        <v>#N/A</v>
      </c>
      <c r="H345" s="20" t="e">
        <f>VLOOKUP($A345,MINASA!$A$1:$BA$1000,47,FALSE)</f>
        <v>#N/A</v>
      </c>
      <c r="I345" s="21" t="e">
        <f>VLOOKUP($A345,MINASA!$A$1:$BA$1000,52,FALSE)</f>
        <v>#N/A</v>
      </c>
      <c r="J345" s="21" t="e">
        <f>VLOOKUP($A345,MINASA!$A$1:$BA$1000,53,FALSE)</f>
        <v>#N/A</v>
      </c>
      <c r="L345" s="20" t="s">
        <v>14</v>
      </c>
      <c r="M345" s="20" t="e">
        <f t="shared" si="12"/>
        <v>#N/A</v>
      </c>
      <c r="N345" s="20" t="s">
        <v>465</v>
      </c>
    </row>
    <row r="346" spans="1:14" ht="81.75" customHeight="1" thickBot="1">
      <c r="A346" s="20">
        <v>345</v>
      </c>
      <c r="B346" s="24" t="e">
        <f>VLOOKUP($A346,MINASA!$A$1:$BA$1000,10,FALSE)</f>
        <v>#N/A</v>
      </c>
      <c r="C346" s="20" t="e">
        <f t="shared" si="11"/>
        <v>#N/A</v>
      </c>
      <c r="D346" s="20" t="e">
        <f>VLOOKUP($A346,MINASA!$A$1:$BA$1000,27,FALSE)</f>
        <v>#N/A</v>
      </c>
      <c r="E346" s="20" t="e">
        <f>VLOOKUP($A346,MINASA!$A$1:$BA$1000,26,FALSE)</f>
        <v>#N/A</v>
      </c>
      <c r="F346" s="21" t="e">
        <f>VLOOKUP($A346,MINASA!$A$1:$BA$1000,30,FALSE)</f>
        <v>#N/A</v>
      </c>
      <c r="G346" s="20" t="e">
        <f>VLOOKUP($A346,MINASA!$A$1:$BA$1000,31,FALSE)</f>
        <v>#N/A</v>
      </c>
      <c r="H346" s="20" t="e">
        <f>VLOOKUP($A346,MINASA!$A$1:$BA$1000,47,FALSE)</f>
        <v>#N/A</v>
      </c>
      <c r="I346" s="21" t="e">
        <f>VLOOKUP($A346,MINASA!$A$1:$BA$1000,52,FALSE)</f>
        <v>#N/A</v>
      </c>
      <c r="J346" s="21" t="e">
        <f>VLOOKUP($A346,MINASA!$A$1:$BA$1000,53,FALSE)</f>
        <v>#N/A</v>
      </c>
      <c r="L346" s="20" t="s">
        <v>14</v>
      </c>
      <c r="M346" s="20" t="e">
        <f t="shared" si="12"/>
        <v>#N/A</v>
      </c>
      <c r="N346" s="20" t="s">
        <v>466</v>
      </c>
    </row>
    <row r="347" spans="1:14" ht="81.75" customHeight="1" thickBot="1">
      <c r="A347" s="20">
        <v>346</v>
      </c>
      <c r="B347" s="24" t="e">
        <f>VLOOKUP($A347,MINASA!$A$1:$BA$1000,10,FALSE)</f>
        <v>#N/A</v>
      </c>
      <c r="C347" s="20" t="e">
        <f t="shared" si="11"/>
        <v>#N/A</v>
      </c>
      <c r="D347" s="20" t="e">
        <f>VLOOKUP($A347,MINASA!$A$1:$BA$1000,27,FALSE)</f>
        <v>#N/A</v>
      </c>
      <c r="E347" s="20" t="e">
        <f>VLOOKUP($A347,MINASA!$A$1:$BA$1000,26,FALSE)</f>
        <v>#N/A</v>
      </c>
      <c r="F347" s="21" t="e">
        <f>VLOOKUP($A347,MINASA!$A$1:$BA$1000,30,FALSE)</f>
        <v>#N/A</v>
      </c>
      <c r="G347" s="20" t="e">
        <f>VLOOKUP($A347,MINASA!$A$1:$BA$1000,31,FALSE)</f>
        <v>#N/A</v>
      </c>
      <c r="H347" s="20" t="e">
        <f>VLOOKUP($A347,MINASA!$A$1:$BA$1000,47,FALSE)</f>
        <v>#N/A</v>
      </c>
      <c r="I347" s="21" t="e">
        <f>VLOOKUP($A347,MINASA!$A$1:$BA$1000,52,FALSE)</f>
        <v>#N/A</v>
      </c>
      <c r="J347" s="21" t="e">
        <f>VLOOKUP($A347,MINASA!$A$1:$BA$1000,53,FALSE)</f>
        <v>#N/A</v>
      </c>
      <c r="L347" s="20" t="s">
        <v>14</v>
      </c>
      <c r="M347" s="20" t="e">
        <f t="shared" si="12"/>
        <v>#N/A</v>
      </c>
      <c r="N347" s="20" t="s">
        <v>467</v>
      </c>
    </row>
    <row r="348" spans="1:14" ht="81.75" customHeight="1" thickBot="1">
      <c r="A348" s="20">
        <v>347</v>
      </c>
      <c r="B348" s="24" t="e">
        <f>VLOOKUP($A348,MINASA!$A$1:$BA$1000,10,FALSE)</f>
        <v>#N/A</v>
      </c>
      <c r="C348" s="20" t="e">
        <f t="shared" si="11"/>
        <v>#N/A</v>
      </c>
      <c r="D348" s="20" t="e">
        <f>VLOOKUP($A348,MINASA!$A$1:$BA$1000,27,FALSE)</f>
        <v>#N/A</v>
      </c>
      <c r="E348" s="20" t="e">
        <f>VLOOKUP($A348,MINASA!$A$1:$BA$1000,26,FALSE)</f>
        <v>#N/A</v>
      </c>
      <c r="F348" s="21" t="e">
        <f>VLOOKUP($A348,MINASA!$A$1:$BA$1000,30,FALSE)</f>
        <v>#N/A</v>
      </c>
      <c r="G348" s="20" t="e">
        <f>VLOOKUP($A348,MINASA!$A$1:$BA$1000,31,FALSE)</f>
        <v>#N/A</v>
      </c>
      <c r="H348" s="20" t="e">
        <f>VLOOKUP($A348,MINASA!$A$1:$BA$1000,47,FALSE)</f>
        <v>#N/A</v>
      </c>
      <c r="I348" s="21" t="e">
        <f>VLOOKUP($A348,MINASA!$A$1:$BA$1000,52,FALSE)</f>
        <v>#N/A</v>
      </c>
      <c r="J348" s="21" t="e">
        <f>VLOOKUP($A348,MINASA!$A$1:$BA$1000,53,FALSE)</f>
        <v>#N/A</v>
      </c>
      <c r="L348" s="20" t="s">
        <v>14</v>
      </c>
      <c r="M348" s="20" t="e">
        <f t="shared" si="12"/>
        <v>#N/A</v>
      </c>
      <c r="N348" s="20" t="s">
        <v>468</v>
      </c>
    </row>
    <row r="349" spans="1:14" ht="81.75" customHeight="1" thickBot="1">
      <c r="A349" s="20">
        <v>348</v>
      </c>
      <c r="B349" s="24" t="e">
        <f>VLOOKUP($A349,MINASA!$A$1:$BA$1000,10,FALSE)</f>
        <v>#N/A</v>
      </c>
      <c r="C349" s="20" t="e">
        <f t="shared" si="11"/>
        <v>#N/A</v>
      </c>
      <c r="D349" s="20" t="e">
        <f>VLOOKUP($A349,MINASA!$A$1:$BA$1000,27,FALSE)</f>
        <v>#N/A</v>
      </c>
      <c r="E349" s="20" t="e">
        <f>VLOOKUP($A349,MINASA!$A$1:$BA$1000,26,FALSE)</f>
        <v>#N/A</v>
      </c>
      <c r="F349" s="21" t="e">
        <f>VLOOKUP($A349,MINASA!$A$1:$BA$1000,30,FALSE)</f>
        <v>#N/A</v>
      </c>
      <c r="G349" s="20" t="e">
        <f>VLOOKUP($A349,MINASA!$A$1:$BA$1000,31,FALSE)</f>
        <v>#N/A</v>
      </c>
      <c r="H349" s="20" t="e">
        <f>VLOOKUP($A349,MINASA!$A$1:$BA$1000,47,FALSE)</f>
        <v>#N/A</v>
      </c>
      <c r="I349" s="21" t="e">
        <f>VLOOKUP($A349,MINASA!$A$1:$BA$1000,52,FALSE)</f>
        <v>#N/A</v>
      </c>
      <c r="J349" s="21" t="e">
        <f>VLOOKUP($A349,MINASA!$A$1:$BA$1000,53,FALSE)</f>
        <v>#N/A</v>
      </c>
      <c r="L349" s="20" t="s">
        <v>14</v>
      </c>
      <c r="M349" s="20" t="e">
        <f t="shared" si="12"/>
        <v>#N/A</v>
      </c>
      <c r="N349" s="20" t="s">
        <v>469</v>
      </c>
    </row>
    <row r="350" spans="1:14" ht="81.75" customHeight="1" thickBot="1">
      <c r="A350" s="20">
        <v>349</v>
      </c>
      <c r="B350" s="24" t="e">
        <f>VLOOKUP($A350,MINASA!$A$1:$BA$1000,10,FALSE)</f>
        <v>#N/A</v>
      </c>
      <c r="C350" s="20" t="e">
        <f t="shared" si="11"/>
        <v>#N/A</v>
      </c>
      <c r="D350" s="20" t="e">
        <f>VLOOKUP($A350,MINASA!$A$1:$BA$1000,27,FALSE)</f>
        <v>#N/A</v>
      </c>
      <c r="E350" s="20" t="e">
        <f>VLOOKUP($A350,MINASA!$A$1:$BA$1000,26,FALSE)</f>
        <v>#N/A</v>
      </c>
      <c r="F350" s="21" t="e">
        <f>VLOOKUP($A350,MINASA!$A$1:$BA$1000,30,FALSE)</f>
        <v>#N/A</v>
      </c>
      <c r="G350" s="20" t="e">
        <f>VLOOKUP($A350,MINASA!$A$1:$BA$1000,31,FALSE)</f>
        <v>#N/A</v>
      </c>
      <c r="H350" s="20" t="e">
        <f>VLOOKUP($A350,MINASA!$A$1:$BA$1000,47,FALSE)</f>
        <v>#N/A</v>
      </c>
      <c r="I350" s="21" t="e">
        <f>VLOOKUP($A350,MINASA!$A$1:$BA$1000,52,FALSE)</f>
        <v>#N/A</v>
      </c>
      <c r="J350" s="21" t="e">
        <f>VLOOKUP($A350,MINASA!$A$1:$BA$1000,53,FALSE)</f>
        <v>#N/A</v>
      </c>
      <c r="L350" s="20" t="s">
        <v>14</v>
      </c>
      <c r="M350" s="20" t="e">
        <f t="shared" si="12"/>
        <v>#N/A</v>
      </c>
      <c r="N350" s="20" t="s">
        <v>470</v>
      </c>
    </row>
    <row r="351" spans="1:14" ht="81.75" customHeight="1" thickBot="1">
      <c r="A351" s="20">
        <v>350</v>
      </c>
      <c r="B351" s="24" t="e">
        <f>VLOOKUP($A351,MINASA!$A$1:$BA$1000,10,FALSE)</f>
        <v>#N/A</v>
      </c>
      <c r="C351" s="20" t="e">
        <f t="shared" si="11"/>
        <v>#N/A</v>
      </c>
      <c r="D351" s="20" t="e">
        <f>VLOOKUP($A351,MINASA!$A$1:$BA$1000,27,FALSE)</f>
        <v>#N/A</v>
      </c>
      <c r="E351" s="20" t="e">
        <f>VLOOKUP($A351,MINASA!$A$1:$BA$1000,26,FALSE)</f>
        <v>#N/A</v>
      </c>
      <c r="F351" s="21" t="e">
        <f>VLOOKUP($A351,MINASA!$A$1:$BA$1000,30,FALSE)</f>
        <v>#N/A</v>
      </c>
      <c r="G351" s="20" t="e">
        <f>VLOOKUP($A351,MINASA!$A$1:$BA$1000,31,FALSE)</f>
        <v>#N/A</v>
      </c>
      <c r="H351" s="20" t="e">
        <f>VLOOKUP($A351,MINASA!$A$1:$BA$1000,47,FALSE)</f>
        <v>#N/A</v>
      </c>
      <c r="I351" s="21" t="e">
        <f>VLOOKUP($A351,MINASA!$A$1:$BA$1000,52,FALSE)</f>
        <v>#N/A</v>
      </c>
      <c r="J351" s="21" t="e">
        <f>VLOOKUP($A351,MINASA!$A$1:$BA$1000,53,FALSE)</f>
        <v>#N/A</v>
      </c>
      <c r="L351" s="20" t="s">
        <v>14</v>
      </c>
      <c r="M351" s="20" t="e">
        <f t="shared" si="12"/>
        <v>#N/A</v>
      </c>
      <c r="N351" s="20" t="s">
        <v>471</v>
      </c>
    </row>
    <row r="352" spans="1:14" ht="81.75" customHeight="1" thickBot="1">
      <c r="A352" s="20">
        <v>351</v>
      </c>
      <c r="B352" s="24" t="e">
        <f>VLOOKUP($A352,MINASA!$A$1:$BA$1000,10,FALSE)</f>
        <v>#N/A</v>
      </c>
      <c r="C352" s="20" t="e">
        <f t="shared" si="11"/>
        <v>#N/A</v>
      </c>
      <c r="D352" s="20" t="e">
        <f>VLOOKUP($A352,MINASA!$A$1:$BA$1000,27,FALSE)</f>
        <v>#N/A</v>
      </c>
      <c r="E352" s="20" t="e">
        <f>VLOOKUP($A352,MINASA!$A$1:$BA$1000,26,FALSE)</f>
        <v>#N/A</v>
      </c>
      <c r="F352" s="21" t="e">
        <f>VLOOKUP($A352,MINASA!$A$1:$BA$1000,30,FALSE)</f>
        <v>#N/A</v>
      </c>
      <c r="G352" s="20" t="e">
        <f>VLOOKUP($A352,MINASA!$A$1:$BA$1000,31,FALSE)</f>
        <v>#N/A</v>
      </c>
      <c r="H352" s="20" t="e">
        <f>VLOOKUP($A352,MINASA!$A$1:$BA$1000,47,FALSE)</f>
        <v>#N/A</v>
      </c>
      <c r="I352" s="21" t="e">
        <f>VLOOKUP($A352,MINASA!$A$1:$BA$1000,52,FALSE)</f>
        <v>#N/A</v>
      </c>
      <c r="J352" s="21" t="e">
        <f>VLOOKUP($A352,MINASA!$A$1:$BA$1000,53,FALSE)</f>
        <v>#N/A</v>
      </c>
      <c r="L352" s="20" t="s">
        <v>14</v>
      </c>
      <c r="M352" s="20" t="e">
        <f t="shared" si="12"/>
        <v>#N/A</v>
      </c>
      <c r="N352" s="20" t="s">
        <v>472</v>
      </c>
    </row>
    <row r="353" spans="1:14" ht="81.75" customHeight="1" thickBot="1">
      <c r="A353" s="20">
        <v>352</v>
      </c>
      <c r="B353" s="24" t="e">
        <f>VLOOKUP($A353,MINASA!$A$1:$BA$1000,10,FALSE)</f>
        <v>#N/A</v>
      </c>
      <c r="C353" s="20" t="e">
        <f t="shared" si="11"/>
        <v>#N/A</v>
      </c>
      <c r="D353" s="20" t="e">
        <f>VLOOKUP($A353,MINASA!$A$1:$BA$1000,27,FALSE)</f>
        <v>#N/A</v>
      </c>
      <c r="E353" s="20" t="e">
        <f>VLOOKUP($A353,MINASA!$A$1:$BA$1000,26,FALSE)</f>
        <v>#N/A</v>
      </c>
      <c r="F353" s="21" t="e">
        <f>VLOOKUP($A353,MINASA!$A$1:$BA$1000,30,FALSE)</f>
        <v>#N/A</v>
      </c>
      <c r="G353" s="20" t="e">
        <f>VLOOKUP($A353,MINASA!$A$1:$BA$1000,31,FALSE)</f>
        <v>#N/A</v>
      </c>
      <c r="H353" s="20" t="e">
        <f>VLOOKUP($A353,MINASA!$A$1:$BA$1000,47,FALSE)</f>
        <v>#N/A</v>
      </c>
      <c r="I353" s="21" t="e">
        <f>VLOOKUP($A353,MINASA!$A$1:$BA$1000,52,FALSE)</f>
        <v>#N/A</v>
      </c>
      <c r="J353" s="21" t="e">
        <f>VLOOKUP($A353,MINASA!$A$1:$BA$1000,53,FALSE)</f>
        <v>#N/A</v>
      </c>
      <c r="L353" s="20" t="s">
        <v>14</v>
      </c>
      <c r="M353" s="20" t="e">
        <f t="shared" si="12"/>
        <v>#N/A</v>
      </c>
      <c r="N353" s="20" t="s">
        <v>473</v>
      </c>
    </row>
    <row r="354" spans="1:14" ht="81.75" customHeight="1" thickBot="1">
      <c r="A354" s="20">
        <v>353</v>
      </c>
      <c r="B354" s="24" t="e">
        <f>VLOOKUP($A354,MINASA!$A$1:$BA$1000,10,FALSE)</f>
        <v>#N/A</v>
      </c>
      <c r="C354" s="20" t="e">
        <f t="shared" si="11"/>
        <v>#N/A</v>
      </c>
      <c r="D354" s="20" t="e">
        <f>VLOOKUP($A354,MINASA!$A$1:$BA$1000,27,FALSE)</f>
        <v>#N/A</v>
      </c>
      <c r="E354" s="20" t="e">
        <f>VLOOKUP($A354,MINASA!$A$1:$BA$1000,26,FALSE)</f>
        <v>#N/A</v>
      </c>
      <c r="F354" s="21" t="e">
        <f>VLOOKUP($A354,MINASA!$A$1:$BA$1000,30,FALSE)</f>
        <v>#N/A</v>
      </c>
      <c r="G354" s="20" t="e">
        <f>VLOOKUP($A354,MINASA!$A$1:$BA$1000,31,FALSE)</f>
        <v>#N/A</v>
      </c>
      <c r="H354" s="20" t="e">
        <f>VLOOKUP($A354,MINASA!$A$1:$BA$1000,47,FALSE)</f>
        <v>#N/A</v>
      </c>
      <c r="I354" s="21" t="e">
        <f>VLOOKUP($A354,MINASA!$A$1:$BA$1000,52,FALSE)</f>
        <v>#N/A</v>
      </c>
      <c r="J354" s="21" t="e">
        <f>VLOOKUP($A354,MINASA!$A$1:$BA$1000,53,FALSE)</f>
        <v>#N/A</v>
      </c>
      <c r="L354" s="20" t="s">
        <v>14</v>
      </c>
      <c r="M354" s="20" t="e">
        <f t="shared" si="12"/>
        <v>#N/A</v>
      </c>
      <c r="N354" s="20" t="s">
        <v>474</v>
      </c>
    </row>
    <row r="355" spans="1:14" ht="81.75" customHeight="1" thickBot="1">
      <c r="A355" s="20">
        <v>354</v>
      </c>
      <c r="B355" s="24" t="e">
        <f>VLOOKUP($A355,MINASA!$A$1:$BA$1000,10,FALSE)</f>
        <v>#N/A</v>
      </c>
      <c r="C355" s="20" t="e">
        <f t="shared" si="11"/>
        <v>#N/A</v>
      </c>
      <c r="D355" s="20" t="e">
        <f>VLOOKUP($A355,MINASA!$A$1:$BA$1000,27,FALSE)</f>
        <v>#N/A</v>
      </c>
      <c r="E355" s="20" t="e">
        <f>VLOOKUP($A355,MINASA!$A$1:$BA$1000,26,FALSE)</f>
        <v>#N/A</v>
      </c>
      <c r="F355" s="21" t="e">
        <f>VLOOKUP($A355,MINASA!$A$1:$BA$1000,30,FALSE)</f>
        <v>#N/A</v>
      </c>
      <c r="G355" s="20" t="e">
        <f>VLOOKUP($A355,MINASA!$A$1:$BA$1000,31,FALSE)</f>
        <v>#N/A</v>
      </c>
      <c r="H355" s="20" t="e">
        <f>VLOOKUP($A355,MINASA!$A$1:$BA$1000,47,FALSE)</f>
        <v>#N/A</v>
      </c>
      <c r="I355" s="21" t="e">
        <f>VLOOKUP($A355,MINASA!$A$1:$BA$1000,52,FALSE)</f>
        <v>#N/A</v>
      </c>
      <c r="J355" s="21" t="e">
        <f>VLOOKUP($A355,MINASA!$A$1:$BA$1000,53,FALSE)</f>
        <v>#N/A</v>
      </c>
      <c r="L355" s="20" t="s">
        <v>14</v>
      </c>
      <c r="M355" s="20" t="e">
        <f t="shared" si="12"/>
        <v>#N/A</v>
      </c>
      <c r="N355" s="20" t="s">
        <v>475</v>
      </c>
    </row>
    <row r="356" spans="1:14" ht="81.75" customHeight="1" thickBot="1">
      <c r="A356" s="20">
        <v>355</v>
      </c>
      <c r="B356" s="24" t="e">
        <f>VLOOKUP($A356,MINASA!$A$1:$BA$1000,10,FALSE)</f>
        <v>#N/A</v>
      </c>
      <c r="C356" s="20" t="e">
        <f t="shared" si="11"/>
        <v>#N/A</v>
      </c>
      <c r="D356" s="20" t="e">
        <f>VLOOKUP($A356,MINASA!$A$1:$BA$1000,27,FALSE)</f>
        <v>#N/A</v>
      </c>
      <c r="E356" s="20" t="e">
        <f>VLOOKUP($A356,MINASA!$A$1:$BA$1000,26,FALSE)</f>
        <v>#N/A</v>
      </c>
      <c r="F356" s="21" t="e">
        <f>VLOOKUP($A356,MINASA!$A$1:$BA$1000,30,FALSE)</f>
        <v>#N/A</v>
      </c>
      <c r="G356" s="20" t="e">
        <f>VLOOKUP($A356,MINASA!$A$1:$BA$1000,31,FALSE)</f>
        <v>#N/A</v>
      </c>
      <c r="H356" s="20" t="e">
        <f>VLOOKUP($A356,MINASA!$A$1:$BA$1000,47,FALSE)</f>
        <v>#N/A</v>
      </c>
      <c r="I356" s="21" t="e">
        <f>VLOOKUP($A356,MINASA!$A$1:$BA$1000,52,FALSE)</f>
        <v>#N/A</v>
      </c>
      <c r="J356" s="21" t="e">
        <f>VLOOKUP($A356,MINASA!$A$1:$BA$1000,53,FALSE)</f>
        <v>#N/A</v>
      </c>
      <c r="L356" s="20" t="s">
        <v>14</v>
      </c>
      <c r="M356" s="20" t="e">
        <f t="shared" si="12"/>
        <v>#N/A</v>
      </c>
      <c r="N356" s="20" t="s">
        <v>476</v>
      </c>
    </row>
    <row r="357" spans="1:14" ht="81.75" customHeight="1" thickBot="1">
      <c r="A357" s="20">
        <v>356</v>
      </c>
      <c r="B357" s="24" t="e">
        <f>VLOOKUP($A357,MINASA!$A$1:$BA$1000,10,FALSE)</f>
        <v>#N/A</v>
      </c>
      <c r="C357" s="20" t="e">
        <f t="shared" si="11"/>
        <v>#N/A</v>
      </c>
      <c r="D357" s="20" t="e">
        <f>VLOOKUP($A357,MINASA!$A$1:$BA$1000,27,FALSE)</f>
        <v>#N/A</v>
      </c>
      <c r="E357" s="20" t="e">
        <f>VLOOKUP($A357,MINASA!$A$1:$BA$1000,26,FALSE)</f>
        <v>#N/A</v>
      </c>
      <c r="F357" s="21" t="e">
        <f>VLOOKUP($A357,MINASA!$A$1:$BA$1000,30,FALSE)</f>
        <v>#N/A</v>
      </c>
      <c r="G357" s="20" t="e">
        <f>VLOOKUP($A357,MINASA!$A$1:$BA$1000,31,FALSE)</f>
        <v>#N/A</v>
      </c>
      <c r="H357" s="20" t="e">
        <f>VLOOKUP($A357,MINASA!$A$1:$BA$1000,47,FALSE)</f>
        <v>#N/A</v>
      </c>
      <c r="I357" s="21" t="e">
        <f>VLOOKUP($A357,MINASA!$A$1:$BA$1000,52,FALSE)</f>
        <v>#N/A</v>
      </c>
      <c r="J357" s="21" t="e">
        <f>VLOOKUP($A357,MINASA!$A$1:$BA$1000,53,FALSE)</f>
        <v>#N/A</v>
      </c>
      <c r="L357" s="20" t="s">
        <v>14</v>
      </c>
      <c r="M357" s="20" t="e">
        <f t="shared" si="12"/>
        <v>#N/A</v>
      </c>
      <c r="N357" s="20" t="s">
        <v>477</v>
      </c>
    </row>
    <row r="358" spans="1:14" ht="81.75" customHeight="1" thickBot="1">
      <c r="A358" s="20">
        <v>357</v>
      </c>
      <c r="B358" s="24" t="e">
        <f>VLOOKUP($A358,MINASA!$A$1:$BA$1000,10,FALSE)</f>
        <v>#N/A</v>
      </c>
      <c r="C358" s="20" t="e">
        <f t="shared" si="11"/>
        <v>#N/A</v>
      </c>
      <c r="D358" s="20" t="e">
        <f>VLOOKUP($A358,MINASA!$A$1:$BA$1000,27,FALSE)</f>
        <v>#N/A</v>
      </c>
      <c r="E358" s="20" t="e">
        <f>VLOOKUP($A358,MINASA!$A$1:$BA$1000,26,FALSE)</f>
        <v>#N/A</v>
      </c>
      <c r="F358" s="21" t="e">
        <f>VLOOKUP($A358,MINASA!$A$1:$BA$1000,30,FALSE)</f>
        <v>#N/A</v>
      </c>
      <c r="G358" s="20" t="e">
        <f>VLOOKUP($A358,MINASA!$A$1:$BA$1000,31,FALSE)</f>
        <v>#N/A</v>
      </c>
      <c r="H358" s="20" t="e">
        <f>VLOOKUP($A358,MINASA!$A$1:$BA$1000,47,FALSE)</f>
        <v>#N/A</v>
      </c>
      <c r="I358" s="21" t="e">
        <f>VLOOKUP($A358,MINASA!$A$1:$BA$1000,52,FALSE)</f>
        <v>#N/A</v>
      </c>
      <c r="J358" s="21" t="e">
        <f>VLOOKUP($A358,MINASA!$A$1:$BA$1000,53,FALSE)</f>
        <v>#N/A</v>
      </c>
      <c r="L358" s="20" t="s">
        <v>14</v>
      </c>
      <c r="M358" s="20" t="e">
        <f t="shared" si="12"/>
        <v>#N/A</v>
      </c>
      <c r="N358" s="20" t="s">
        <v>478</v>
      </c>
    </row>
    <row r="359" spans="1:14" ht="81.75" customHeight="1" thickBot="1">
      <c r="A359" s="20">
        <v>358</v>
      </c>
      <c r="B359" s="24" t="e">
        <f>VLOOKUP($A359,MINASA!$A$1:$BA$1000,10,FALSE)</f>
        <v>#N/A</v>
      </c>
      <c r="C359" s="20" t="e">
        <f t="shared" si="11"/>
        <v>#N/A</v>
      </c>
      <c r="D359" s="20" t="e">
        <f>VLOOKUP($A359,MINASA!$A$1:$BA$1000,27,FALSE)</f>
        <v>#N/A</v>
      </c>
      <c r="E359" s="20" t="e">
        <f>VLOOKUP($A359,MINASA!$A$1:$BA$1000,26,FALSE)</f>
        <v>#N/A</v>
      </c>
      <c r="F359" s="21" t="e">
        <f>VLOOKUP($A359,MINASA!$A$1:$BA$1000,30,FALSE)</f>
        <v>#N/A</v>
      </c>
      <c r="G359" s="20" t="e">
        <f>VLOOKUP($A359,MINASA!$A$1:$BA$1000,31,FALSE)</f>
        <v>#N/A</v>
      </c>
      <c r="H359" s="20" t="e">
        <f>VLOOKUP($A359,MINASA!$A$1:$BA$1000,47,FALSE)</f>
        <v>#N/A</v>
      </c>
      <c r="I359" s="21" t="e">
        <f>VLOOKUP($A359,MINASA!$A$1:$BA$1000,52,FALSE)</f>
        <v>#N/A</v>
      </c>
      <c r="J359" s="21" t="e">
        <f>VLOOKUP($A359,MINASA!$A$1:$BA$1000,53,FALSE)</f>
        <v>#N/A</v>
      </c>
      <c r="L359" s="20" t="s">
        <v>14</v>
      </c>
      <c r="M359" s="20" t="e">
        <f t="shared" si="12"/>
        <v>#N/A</v>
      </c>
      <c r="N359" s="20" t="s">
        <v>479</v>
      </c>
    </row>
    <row r="360" spans="1:14" ht="81.75" customHeight="1" thickBot="1">
      <c r="A360" s="20">
        <v>359</v>
      </c>
      <c r="B360" s="24" t="e">
        <f>VLOOKUP($A360,MINASA!$A$1:$BA$1000,10,FALSE)</f>
        <v>#N/A</v>
      </c>
      <c r="C360" s="20" t="e">
        <f t="shared" si="11"/>
        <v>#N/A</v>
      </c>
      <c r="D360" s="20" t="e">
        <f>VLOOKUP($A360,MINASA!$A$1:$BA$1000,27,FALSE)</f>
        <v>#N/A</v>
      </c>
      <c r="E360" s="20" t="e">
        <f>VLOOKUP($A360,MINASA!$A$1:$BA$1000,26,FALSE)</f>
        <v>#N/A</v>
      </c>
      <c r="F360" s="21" t="e">
        <f>VLOOKUP($A360,MINASA!$A$1:$BA$1000,30,FALSE)</f>
        <v>#N/A</v>
      </c>
      <c r="G360" s="20" t="e">
        <f>VLOOKUP($A360,MINASA!$A$1:$BA$1000,31,FALSE)</f>
        <v>#N/A</v>
      </c>
      <c r="H360" s="20" t="e">
        <f>VLOOKUP($A360,MINASA!$A$1:$BA$1000,47,FALSE)</f>
        <v>#N/A</v>
      </c>
      <c r="I360" s="21" t="e">
        <f>VLOOKUP($A360,MINASA!$A$1:$BA$1000,52,FALSE)</f>
        <v>#N/A</v>
      </c>
      <c r="J360" s="21" t="e">
        <f>VLOOKUP($A360,MINASA!$A$1:$BA$1000,53,FALSE)</f>
        <v>#N/A</v>
      </c>
      <c r="L360" s="20" t="s">
        <v>14</v>
      </c>
      <c r="M360" s="20" t="e">
        <f t="shared" si="12"/>
        <v>#N/A</v>
      </c>
      <c r="N360" s="20" t="s">
        <v>480</v>
      </c>
    </row>
    <row r="361" spans="1:14" ht="81.75" customHeight="1" thickBot="1">
      <c r="A361" s="20">
        <v>360</v>
      </c>
      <c r="B361" s="24" t="e">
        <f>VLOOKUP($A361,MINASA!$A$1:$BA$1000,10,FALSE)</f>
        <v>#N/A</v>
      </c>
      <c r="C361" s="20" t="e">
        <f t="shared" ref="C361:C401" si="13">LEFT(B361,8)</f>
        <v>#N/A</v>
      </c>
      <c r="D361" s="20" t="e">
        <f>VLOOKUP($A361,MINASA!$A$1:$BA$1000,27,FALSE)</f>
        <v>#N/A</v>
      </c>
      <c r="E361" s="20" t="e">
        <f>VLOOKUP($A361,MINASA!$A$1:$BA$1000,26,FALSE)</f>
        <v>#N/A</v>
      </c>
      <c r="F361" s="21" t="e">
        <f>VLOOKUP($A361,MINASA!$A$1:$BA$1000,30,FALSE)</f>
        <v>#N/A</v>
      </c>
      <c r="G361" s="20" t="e">
        <f>VLOOKUP($A361,MINASA!$A$1:$BA$1000,31,FALSE)</f>
        <v>#N/A</v>
      </c>
      <c r="H361" s="20" t="e">
        <f>VLOOKUP($A361,MINASA!$A$1:$BA$1000,47,FALSE)</f>
        <v>#N/A</v>
      </c>
      <c r="I361" s="21" t="e">
        <f>VLOOKUP($A361,MINASA!$A$1:$BA$1000,52,FALSE)</f>
        <v>#N/A</v>
      </c>
      <c r="J361" s="21" t="e">
        <f>VLOOKUP($A361,MINASA!$A$1:$BA$1000,53,FALSE)</f>
        <v>#N/A</v>
      </c>
      <c r="L361" s="20" t="s">
        <v>14</v>
      </c>
      <c r="M361" s="20" t="e">
        <f t="shared" si="12"/>
        <v>#N/A</v>
      </c>
      <c r="N361" s="20" t="s">
        <v>481</v>
      </c>
    </row>
    <row r="362" spans="1:14" ht="81.75" customHeight="1" thickBot="1">
      <c r="A362" s="20">
        <v>361</v>
      </c>
      <c r="B362" s="24" t="e">
        <f>VLOOKUP($A362,MINASA!$A$1:$BA$1000,10,FALSE)</f>
        <v>#N/A</v>
      </c>
      <c r="C362" s="20" t="e">
        <f t="shared" si="13"/>
        <v>#N/A</v>
      </c>
      <c r="D362" s="20" t="e">
        <f>VLOOKUP($A362,MINASA!$A$1:$BA$1000,27,FALSE)</f>
        <v>#N/A</v>
      </c>
      <c r="E362" s="20" t="e">
        <f>VLOOKUP($A362,MINASA!$A$1:$BA$1000,26,FALSE)</f>
        <v>#N/A</v>
      </c>
      <c r="F362" s="21" t="e">
        <f>VLOOKUP($A362,MINASA!$A$1:$BA$1000,30,FALSE)</f>
        <v>#N/A</v>
      </c>
      <c r="G362" s="20" t="e">
        <f>VLOOKUP($A362,MINASA!$A$1:$BA$1000,31,FALSE)</f>
        <v>#N/A</v>
      </c>
      <c r="H362" s="20" t="e">
        <f>VLOOKUP($A362,MINASA!$A$1:$BA$1000,47,FALSE)</f>
        <v>#N/A</v>
      </c>
      <c r="I362" s="21" t="e">
        <f>VLOOKUP($A362,MINASA!$A$1:$BA$1000,52,FALSE)</f>
        <v>#N/A</v>
      </c>
      <c r="J362" s="21" t="e">
        <f>VLOOKUP($A362,MINASA!$A$1:$BA$1000,53,FALSE)</f>
        <v>#N/A</v>
      </c>
      <c r="L362" s="20" t="s">
        <v>14</v>
      </c>
      <c r="M362" s="20" t="e">
        <f t="shared" ref="M362:M407" si="14">CONCATENATE(L362,C362,".jpg")</f>
        <v>#N/A</v>
      </c>
      <c r="N362" s="20" t="s">
        <v>482</v>
      </c>
    </row>
    <row r="363" spans="1:14" ht="81.75" customHeight="1" thickBot="1">
      <c r="A363" s="20">
        <v>362</v>
      </c>
      <c r="B363" s="24" t="e">
        <f>VLOOKUP($A363,MINASA!$A$1:$BA$1000,10,FALSE)</f>
        <v>#N/A</v>
      </c>
      <c r="C363" s="20" t="e">
        <f t="shared" si="13"/>
        <v>#N/A</v>
      </c>
      <c r="D363" s="20" t="e">
        <f>VLOOKUP($A363,MINASA!$A$1:$BA$1000,27,FALSE)</f>
        <v>#N/A</v>
      </c>
      <c r="E363" s="20" t="e">
        <f>VLOOKUP($A363,MINASA!$A$1:$BA$1000,26,FALSE)</f>
        <v>#N/A</v>
      </c>
      <c r="F363" s="21" t="e">
        <f>VLOOKUP($A363,MINASA!$A$1:$BA$1000,30,FALSE)</f>
        <v>#N/A</v>
      </c>
      <c r="G363" s="20" t="e">
        <f>VLOOKUP($A363,MINASA!$A$1:$BA$1000,31,FALSE)</f>
        <v>#N/A</v>
      </c>
      <c r="H363" s="20" t="e">
        <f>VLOOKUP($A363,MINASA!$A$1:$BA$1000,47,FALSE)</f>
        <v>#N/A</v>
      </c>
      <c r="I363" s="21" t="e">
        <f>VLOOKUP($A363,MINASA!$A$1:$BA$1000,52,FALSE)</f>
        <v>#N/A</v>
      </c>
      <c r="J363" s="21" t="e">
        <f>VLOOKUP($A363,MINASA!$A$1:$BA$1000,53,FALSE)</f>
        <v>#N/A</v>
      </c>
      <c r="L363" s="20" t="s">
        <v>14</v>
      </c>
      <c r="M363" s="20" t="e">
        <f t="shared" si="14"/>
        <v>#N/A</v>
      </c>
      <c r="N363" s="20" t="s">
        <v>483</v>
      </c>
    </row>
    <row r="364" spans="1:14" ht="81.75" customHeight="1" thickBot="1">
      <c r="A364" s="20">
        <v>363</v>
      </c>
      <c r="B364" s="24" t="e">
        <f>VLOOKUP($A364,MINASA!$A$1:$BA$1000,10,FALSE)</f>
        <v>#N/A</v>
      </c>
      <c r="C364" s="20" t="e">
        <f t="shared" si="13"/>
        <v>#N/A</v>
      </c>
      <c r="D364" s="20" t="e">
        <f>VLOOKUP($A364,MINASA!$A$1:$BA$1000,27,FALSE)</f>
        <v>#N/A</v>
      </c>
      <c r="E364" s="20" t="e">
        <f>VLOOKUP($A364,MINASA!$A$1:$BA$1000,26,FALSE)</f>
        <v>#N/A</v>
      </c>
      <c r="F364" s="21" t="e">
        <f>VLOOKUP($A364,MINASA!$A$1:$BA$1000,30,FALSE)</f>
        <v>#N/A</v>
      </c>
      <c r="G364" s="20" t="e">
        <f>VLOOKUP($A364,MINASA!$A$1:$BA$1000,31,FALSE)</f>
        <v>#N/A</v>
      </c>
      <c r="H364" s="20" t="e">
        <f>VLOOKUP($A364,MINASA!$A$1:$BA$1000,47,FALSE)</f>
        <v>#N/A</v>
      </c>
      <c r="I364" s="21" t="e">
        <f>VLOOKUP($A364,MINASA!$A$1:$BA$1000,52,FALSE)</f>
        <v>#N/A</v>
      </c>
      <c r="J364" s="21" t="e">
        <f>VLOOKUP($A364,MINASA!$A$1:$BA$1000,53,FALSE)</f>
        <v>#N/A</v>
      </c>
      <c r="L364" s="20" t="s">
        <v>14</v>
      </c>
      <c r="M364" s="20" t="e">
        <f t="shared" si="14"/>
        <v>#N/A</v>
      </c>
      <c r="N364" s="20" t="s">
        <v>484</v>
      </c>
    </row>
    <row r="365" spans="1:14" ht="81.75" customHeight="1" thickBot="1">
      <c r="A365" s="20">
        <v>364</v>
      </c>
      <c r="B365" s="24" t="e">
        <f>VLOOKUP($A365,MINASA!$A$1:$BA$1000,10,FALSE)</f>
        <v>#N/A</v>
      </c>
      <c r="C365" s="20" t="e">
        <f t="shared" si="13"/>
        <v>#N/A</v>
      </c>
      <c r="D365" s="20" t="e">
        <f>VLOOKUP($A365,MINASA!$A$1:$BA$1000,27,FALSE)</f>
        <v>#N/A</v>
      </c>
      <c r="E365" s="20" t="e">
        <f>VLOOKUP($A365,MINASA!$A$1:$BA$1000,26,FALSE)</f>
        <v>#N/A</v>
      </c>
      <c r="F365" s="21" t="e">
        <f>VLOOKUP($A365,MINASA!$A$1:$BA$1000,30,FALSE)</f>
        <v>#N/A</v>
      </c>
      <c r="G365" s="20" t="e">
        <f>VLOOKUP($A365,MINASA!$A$1:$BA$1000,31,FALSE)</f>
        <v>#N/A</v>
      </c>
      <c r="H365" s="20" t="e">
        <f>VLOOKUP($A365,MINASA!$A$1:$BA$1000,47,FALSE)</f>
        <v>#N/A</v>
      </c>
      <c r="I365" s="21" t="e">
        <f>VLOOKUP($A365,MINASA!$A$1:$BA$1000,52,FALSE)</f>
        <v>#N/A</v>
      </c>
      <c r="J365" s="21" t="e">
        <f>VLOOKUP($A365,MINASA!$A$1:$BA$1000,53,FALSE)</f>
        <v>#N/A</v>
      </c>
      <c r="L365" s="20" t="s">
        <v>14</v>
      </c>
      <c r="M365" s="20" t="e">
        <f t="shared" si="14"/>
        <v>#N/A</v>
      </c>
      <c r="N365" s="20" t="s">
        <v>485</v>
      </c>
    </row>
    <row r="366" spans="1:14" ht="81.75" customHeight="1" thickBot="1">
      <c r="A366" s="20">
        <v>365</v>
      </c>
      <c r="B366" s="24" t="e">
        <f>VLOOKUP($A366,MINASA!$A$1:$BA$1000,10,FALSE)</f>
        <v>#N/A</v>
      </c>
      <c r="C366" s="20" t="e">
        <f t="shared" si="13"/>
        <v>#N/A</v>
      </c>
      <c r="D366" s="20" t="e">
        <f>VLOOKUP($A366,MINASA!$A$1:$BA$1000,27,FALSE)</f>
        <v>#N/A</v>
      </c>
      <c r="E366" s="20" t="e">
        <f>VLOOKUP($A366,MINASA!$A$1:$BA$1000,26,FALSE)</f>
        <v>#N/A</v>
      </c>
      <c r="F366" s="21" t="e">
        <f>VLOOKUP($A366,MINASA!$A$1:$BA$1000,30,FALSE)</f>
        <v>#N/A</v>
      </c>
      <c r="G366" s="20" t="e">
        <f>VLOOKUP($A366,MINASA!$A$1:$BA$1000,31,FALSE)</f>
        <v>#N/A</v>
      </c>
      <c r="H366" s="20" t="e">
        <f>VLOOKUP($A366,MINASA!$A$1:$BA$1000,47,FALSE)</f>
        <v>#N/A</v>
      </c>
      <c r="I366" s="21" t="e">
        <f>VLOOKUP($A366,MINASA!$A$1:$BA$1000,52,FALSE)</f>
        <v>#N/A</v>
      </c>
      <c r="J366" s="21" t="e">
        <f>VLOOKUP($A366,MINASA!$A$1:$BA$1000,53,FALSE)</f>
        <v>#N/A</v>
      </c>
      <c r="L366" s="20" t="s">
        <v>14</v>
      </c>
      <c r="M366" s="20" t="e">
        <f t="shared" si="14"/>
        <v>#N/A</v>
      </c>
      <c r="N366" s="20" t="s">
        <v>486</v>
      </c>
    </row>
    <row r="367" spans="1:14" ht="81.75" customHeight="1" thickBot="1">
      <c r="A367" s="20">
        <v>366</v>
      </c>
      <c r="B367" s="24" t="e">
        <f>VLOOKUP($A367,MINASA!$A$1:$BA$1000,10,FALSE)</f>
        <v>#N/A</v>
      </c>
      <c r="C367" s="20" t="e">
        <f t="shared" si="13"/>
        <v>#N/A</v>
      </c>
      <c r="D367" s="20" t="e">
        <f>VLOOKUP($A367,MINASA!$A$1:$BA$1000,27,FALSE)</f>
        <v>#N/A</v>
      </c>
      <c r="E367" s="20" t="e">
        <f>VLOOKUP($A367,MINASA!$A$1:$BA$1000,26,FALSE)</f>
        <v>#N/A</v>
      </c>
      <c r="F367" s="21" t="e">
        <f>VLOOKUP($A367,MINASA!$A$1:$BA$1000,30,FALSE)</f>
        <v>#N/A</v>
      </c>
      <c r="G367" s="20" t="e">
        <f>VLOOKUP($A367,MINASA!$A$1:$BA$1000,31,FALSE)</f>
        <v>#N/A</v>
      </c>
      <c r="H367" s="20" t="e">
        <f>VLOOKUP($A367,MINASA!$A$1:$BA$1000,47,FALSE)</f>
        <v>#N/A</v>
      </c>
      <c r="I367" s="21" t="e">
        <f>VLOOKUP($A367,MINASA!$A$1:$BA$1000,52,FALSE)</f>
        <v>#N/A</v>
      </c>
      <c r="J367" s="21" t="e">
        <f>VLOOKUP($A367,MINASA!$A$1:$BA$1000,53,FALSE)</f>
        <v>#N/A</v>
      </c>
      <c r="L367" s="20" t="s">
        <v>14</v>
      </c>
      <c r="M367" s="20" t="e">
        <f t="shared" si="14"/>
        <v>#N/A</v>
      </c>
      <c r="N367" s="20" t="s">
        <v>487</v>
      </c>
    </row>
    <row r="368" spans="1:14" ht="81.75" customHeight="1" thickBot="1">
      <c r="A368" s="20">
        <v>367</v>
      </c>
      <c r="B368" s="24" t="e">
        <f>VLOOKUP($A368,MINASA!$A$1:$BA$1000,10,FALSE)</f>
        <v>#N/A</v>
      </c>
      <c r="C368" s="20" t="e">
        <f t="shared" si="13"/>
        <v>#N/A</v>
      </c>
      <c r="D368" s="20" t="e">
        <f>VLOOKUP($A368,MINASA!$A$1:$BA$1000,27,FALSE)</f>
        <v>#N/A</v>
      </c>
      <c r="E368" s="20" t="e">
        <f>VLOOKUP($A368,MINASA!$A$1:$BA$1000,26,FALSE)</f>
        <v>#N/A</v>
      </c>
      <c r="F368" s="21" t="e">
        <f>VLOOKUP($A368,MINASA!$A$1:$BA$1000,30,FALSE)</f>
        <v>#N/A</v>
      </c>
      <c r="G368" s="20" t="e">
        <f>VLOOKUP($A368,MINASA!$A$1:$BA$1000,31,FALSE)</f>
        <v>#N/A</v>
      </c>
      <c r="H368" s="20" t="e">
        <f>VLOOKUP($A368,MINASA!$A$1:$BA$1000,47,FALSE)</f>
        <v>#N/A</v>
      </c>
      <c r="I368" s="21" t="e">
        <f>VLOOKUP($A368,MINASA!$A$1:$BA$1000,52,FALSE)</f>
        <v>#N/A</v>
      </c>
      <c r="J368" s="21" t="e">
        <f>VLOOKUP($A368,MINASA!$A$1:$BA$1000,53,FALSE)</f>
        <v>#N/A</v>
      </c>
      <c r="L368" s="20" t="s">
        <v>14</v>
      </c>
      <c r="M368" s="20" t="e">
        <f t="shared" si="14"/>
        <v>#N/A</v>
      </c>
      <c r="N368" s="20" t="s">
        <v>488</v>
      </c>
    </row>
    <row r="369" spans="1:14" ht="81.75" customHeight="1" thickBot="1">
      <c r="A369" s="20">
        <v>368</v>
      </c>
      <c r="B369" s="24" t="e">
        <f>VLOOKUP($A369,MINASA!$A$1:$BA$1000,10,FALSE)</f>
        <v>#N/A</v>
      </c>
      <c r="C369" s="20" t="e">
        <f t="shared" si="13"/>
        <v>#N/A</v>
      </c>
      <c r="D369" s="20" t="e">
        <f>VLOOKUP($A369,MINASA!$A$1:$BA$1000,27,FALSE)</f>
        <v>#N/A</v>
      </c>
      <c r="E369" s="20" t="e">
        <f>VLOOKUP($A369,MINASA!$A$1:$BA$1000,26,FALSE)</f>
        <v>#N/A</v>
      </c>
      <c r="F369" s="21" t="e">
        <f>VLOOKUP($A369,MINASA!$A$1:$BA$1000,30,FALSE)</f>
        <v>#N/A</v>
      </c>
      <c r="G369" s="20" t="e">
        <f>VLOOKUP($A369,MINASA!$A$1:$BA$1000,31,FALSE)</f>
        <v>#N/A</v>
      </c>
      <c r="H369" s="20" t="e">
        <f>VLOOKUP($A369,MINASA!$A$1:$BA$1000,47,FALSE)</f>
        <v>#N/A</v>
      </c>
      <c r="I369" s="21" t="e">
        <f>VLOOKUP($A369,MINASA!$A$1:$BA$1000,52,FALSE)</f>
        <v>#N/A</v>
      </c>
      <c r="J369" s="21" t="e">
        <f>VLOOKUP($A369,MINASA!$A$1:$BA$1000,53,FALSE)</f>
        <v>#N/A</v>
      </c>
      <c r="L369" s="20" t="s">
        <v>14</v>
      </c>
      <c r="M369" s="20" t="e">
        <f t="shared" si="14"/>
        <v>#N/A</v>
      </c>
      <c r="N369" s="20" t="s">
        <v>489</v>
      </c>
    </row>
    <row r="370" spans="1:14" ht="81.75" customHeight="1" thickBot="1">
      <c r="A370" s="20">
        <v>369</v>
      </c>
      <c r="B370" s="24" t="e">
        <f>VLOOKUP($A370,MINASA!$A$1:$BA$1000,10,FALSE)</f>
        <v>#N/A</v>
      </c>
      <c r="C370" s="20" t="e">
        <f t="shared" si="13"/>
        <v>#N/A</v>
      </c>
      <c r="D370" s="20" t="e">
        <f>VLOOKUP($A370,MINASA!$A$1:$BA$1000,27,FALSE)</f>
        <v>#N/A</v>
      </c>
      <c r="E370" s="20" t="e">
        <f>VLOOKUP($A370,MINASA!$A$1:$BA$1000,26,FALSE)</f>
        <v>#N/A</v>
      </c>
      <c r="F370" s="21" t="e">
        <f>VLOOKUP($A370,MINASA!$A$1:$BA$1000,30,FALSE)</f>
        <v>#N/A</v>
      </c>
      <c r="G370" s="20" t="e">
        <f>VLOOKUP($A370,MINASA!$A$1:$BA$1000,31,FALSE)</f>
        <v>#N/A</v>
      </c>
      <c r="H370" s="20" t="e">
        <f>VLOOKUP($A370,MINASA!$A$1:$BA$1000,47,FALSE)</f>
        <v>#N/A</v>
      </c>
      <c r="I370" s="21" t="e">
        <f>VLOOKUP($A370,MINASA!$A$1:$BA$1000,52,FALSE)</f>
        <v>#N/A</v>
      </c>
      <c r="J370" s="21" t="e">
        <f>VLOOKUP($A370,MINASA!$A$1:$BA$1000,53,FALSE)</f>
        <v>#N/A</v>
      </c>
      <c r="L370" s="20" t="s">
        <v>14</v>
      </c>
      <c r="M370" s="20" t="e">
        <f t="shared" si="14"/>
        <v>#N/A</v>
      </c>
      <c r="N370" s="20" t="s">
        <v>490</v>
      </c>
    </row>
    <row r="371" spans="1:14" s="29" customFormat="1" ht="81.75" customHeight="1" thickBot="1">
      <c r="A371" s="28">
        <v>370</v>
      </c>
      <c r="B371" s="24" t="e">
        <f>VLOOKUP($A371,MINASA!$A$1:$BA$1000,10,FALSE)</f>
        <v>#N/A</v>
      </c>
      <c r="C371" s="28" t="e">
        <f t="shared" si="13"/>
        <v>#N/A</v>
      </c>
      <c r="D371" s="20" t="e">
        <f>VLOOKUP($A371,MINASA!$A$1:$BA$1000,27,FALSE)</f>
        <v>#N/A</v>
      </c>
      <c r="E371" s="20" t="e">
        <f>VLOOKUP($A371,MINASA!$A$1:$BA$1000,26,FALSE)</f>
        <v>#N/A</v>
      </c>
      <c r="F371" s="21" t="e">
        <f>VLOOKUP($A371,MINASA!$A$1:$BA$1000,30,FALSE)</f>
        <v>#N/A</v>
      </c>
      <c r="G371" s="20" t="e">
        <f>VLOOKUP($A371,MINASA!$A$1:$BA$1000,31,FALSE)</f>
        <v>#N/A</v>
      </c>
      <c r="H371" s="20" t="e">
        <f>VLOOKUP($A371,MINASA!$A$1:$BA$1000,47,FALSE)</f>
        <v>#N/A</v>
      </c>
      <c r="I371" s="21" t="e">
        <f>VLOOKUP($A371,MINASA!$A$1:$BA$1000,52,FALSE)</f>
        <v>#N/A</v>
      </c>
      <c r="J371" s="21" t="e">
        <f>VLOOKUP($A371,MINASA!$A$1:$BA$1000,53,FALSE)</f>
        <v>#N/A</v>
      </c>
      <c r="K371"/>
      <c r="L371" s="20" t="s">
        <v>14</v>
      </c>
      <c r="M371" s="20" t="e">
        <f t="shared" si="14"/>
        <v>#N/A</v>
      </c>
      <c r="N371" s="20" t="s">
        <v>491</v>
      </c>
    </row>
    <row r="372" spans="1:14" ht="81.75" customHeight="1" thickBot="1">
      <c r="A372" s="20">
        <v>371</v>
      </c>
      <c r="B372" s="24" t="e">
        <f>VLOOKUP($A372,MINASA!$A$1:$BA$1000,10,FALSE)</f>
        <v>#N/A</v>
      </c>
      <c r="C372" s="20" t="e">
        <f t="shared" si="13"/>
        <v>#N/A</v>
      </c>
      <c r="D372" s="20" t="e">
        <f>VLOOKUP($A372,MINASA!$A$1:$BA$1000,27,FALSE)</f>
        <v>#N/A</v>
      </c>
      <c r="E372" s="20" t="e">
        <f>VLOOKUP($A372,MINASA!$A$1:$BA$1000,26,FALSE)</f>
        <v>#N/A</v>
      </c>
      <c r="F372" s="21" t="e">
        <f>VLOOKUP($A372,MINASA!$A$1:$BA$1000,30,FALSE)</f>
        <v>#N/A</v>
      </c>
      <c r="G372" s="20" t="e">
        <f>VLOOKUP($A372,MINASA!$A$1:$BA$1000,31,FALSE)</f>
        <v>#N/A</v>
      </c>
      <c r="H372" s="20" t="e">
        <f>VLOOKUP($A372,MINASA!$A$1:$BA$1000,47,FALSE)</f>
        <v>#N/A</v>
      </c>
      <c r="I372" s="21" t="e">
        <f>VLOOKUP($A372,MINASA!$A$1:$BA$1000,52,FALSE)</f>
        <v>#N/A</v>
      </c>
      <c r="J372" s="21" t="e">
        <f>VLOOKUP($A372,MINASA!$A$1:$BA$1000,53,FALSE)</f>
        <v>#N/A</v>
      </c>
      <c r="L372" s="20" t="s">
        <v>14</v>
      </c>
      <c r="M372" s="20" t="e">
        <f t="shared" si="14"/>
        <v>#N/A</v>
      </c>
      <c r="N372" s="20" t="s">
        <v>492</v>
      </c>
    </row>
    <row r="373" spans="1:14" ht="81.75" customHeight="1" thickBot="1">
      <c r="A373" s="20">
        <v>372</v>
      </c>
      <c r="B373" s="24" t="e">
        <f>VLOOKUP($A373,MINASA!$A$1:$BA$1000,10,FALSE)</f>
        <v>#N/A</v>
      </c>
      <c r="C373" s="20" t="e">
        <f t="shared" si="13"/>
        <v>#N/A</v>
      </c>
      <c r="D373" s="20" t="e">
        <f>VLOOKUP($A373,MINASA!$A$1:$BA$1000,27,FALSE)</f>
        <v>#N/A</v>
      </c>
      <c r="E373" s="20" t="e">
        <f>VLOOKUP($A373,MINASA!$A$1:$BA$1000,26,FALSE)</f>
        <v>#N/A</v>
      </c>
      <c r="F373" s="21" t="e">
        <f>VLOOKUP($A373,MINASA!$A$1:$BA$1000,30,FALSE)</f>
        <v>#N/A</v>
      </c>
      <c r="G373" s="20" t="e">
        <f>VLOOKUP($A373,MINASA!$A$1:$BA$1000,31,FALSE)</f>
        <v>#N/A</v>
      </c>
      <c r="H373" s="20" t="e">
        <f>VLOOKUP($A373,MINASA!$A$1:$BA$1000,47,FALSE)</f>
        <v>#N/A</v>
      </c>
      <c r="I373" s="21" t="e">
        <f>VLOOKUP($A373,MINASA!$A$1:$BA$1000,52,FALSE)</f>
        <v>#N/A</v>
      </c>
      <c r="J373" s="21" t="e">
        <f>VLOOKUP($A373,MINASA!$A$1:$BA$1000,53,FALSE)</f>
        <v>#N/A</v>
      </c>
      <c r="L373" s="20" t="s">
        <v>14</v>
      </c>
      <c r="M373" s="20" t="e">
        <f t="shared" si="14"/>
        <v>#N/A</v>
      </c>
      <c r="N373" s="20" t="s">
        <v>493</v>
      </c>
    </row>
    <row r="374" spans="1:14" ht="81.75" customHeight="1" thickBot="1">
      <c r="A374" s="20">
        <v>373</v>
      </c>
      <c r="B374" s="24" t="e">
        <f>VLOOKUP($A374,MINASA!$A$1:$BA$1000,10,FALSE)</f>
        <v>#N/A</v>
      </c>
      <c r="C374" s="20" t="e">
        <f t="shared" si="13"/>
        <v>#N/A</v>
      </c>
      <c r="D374" s="20" t="e">
        <f>VLOOKUP($A374,MINASA!$A$1:$BA$1000,27,FALSE)</f>
        <v>#N/A</v>
      </c>
      <c r="E374" s="20" t="e">
        <f>VLOOKUP($A374,MINASA!$A$1:$BA$1000,26,FALSE)</f>
        <v>#N/A</v>
      </c>
      <c r="F374" s="21" t="e">
        <f>VLOOKUP($A374,MINASA!$A$1:$BA$1000,30,FALSE)</f>
        <v>#N/A</v>
      </c>
      <c r="G374" s="20" t="e">
        <f>VLOOKUP($A374,MINASA!$A$1:$BA$1000,31,FALSE)</f>
        <v>#N/A</v>
      </c>
      <c r="H374" s="20" t="e">
        <f>VLOOKUP($A374,MINASA!$A$1:$BA$1000,47,FALSE)</f>
        <v>#N/A</v>
      </c>
      <c r="I374" s="21" t="e">
        <f>VLOOKUP($A374,MINASA!$A$1:$BA$1000,52,FALSE)</f>
        <v>#N/A</v>
      </c>
      <c r="J374" s="21" t="e">
        <f>VLOOKUP($A374,MINASA!$A$1:$BA$1000,53,FALSE)</f>
        <v>#N/A</v>
      </c>
      <c r="L374" s="20" t="s">
        <v>14</v>
      </c>
      <c r="M374" s="20" t="e">
        <f t="shared" si="14"/>
        <v>#N/A</v>
      </c>
      <c r="N374" s="20" t="s">
        <v>494</v>
      </c>
    </row>
    <row r="375" spans="1:14" ht="81.75" customHeight="1" thickBot="1">
      <c r="A375" s="20">
        <v>374</v>
      </c>
      <c r="B375" s="24" t="e">
        <f>VLOOKUP($A375,MINASA!$A$1:$BA$1000,10,FALSE)</f>
        <v>#N/A</v>
      </c>
      <c r="C375" s="20" t="e">
        <f t="shared" si="13"/>
        <v>#N/A</v>
      </c>
      <c r="D375" s="20" t="e">
        <f>VLOOKUP($A375,MINASA!$A$1:$BA$1000,27,FALSE)</f>
        <v>#N/A</v>
      </c>
      <c r="E375" s="20" t="e">
        <f>VLOOKUP($A375,MINASA!$A$1:$BA$1000,26,FALSE)</f>
        <v>#N/A</v>
      </c>
      <c r="F375" s="21" t="e">
        <f>VLOOKUP($A375,MINASA!$A$1:$BA$1000,30,FALSE)</f>
        <v>#N/A</v>
      </c>
      <c r="G375" s="20" t="e">
        <f>VLOOKUP($A375,MINASA!$A$1:$BA$1000,31,FALSE)</f>
        <v>#N/A</v>
      </c>
      <c r="H375" s="20" t="e">
        <f>VLOOKUP($A375,MINASA!$A$1:$BA$1000,47,FALSE)</f>
        <v>#N/A</v>
      </c>
      <c r="I375" s="21" t="e">
        <f>VLOOKUP($A375,MINASA!$A$1:$BA$1000,52,FALSE)</f>
        <v>#N/A</v>
      </c>
      <c r="J375" s="21" t="e">
        <f>VLOOKUP($A375,MINASA!$A$1:$BA$1000,53,FALSE)</f>
        <v>#N/A</v>
      </c>
      <c r="L375" s="20" t="s">
        <v>14</v>
      </c>
      <c r="M375" s="20" t="e">
        <f t="shared" si="14"/>
        <v>#N/A</v>
      </c>
      <c r="N375" s="20" t="s">
        <v>495</v>
      </c>
    </row>
    <row r="376" spans="1:14" ht="81.75" customHeight="1" thickBot="1">
      <c r="A376" s="20">
        <v>375</v>
      </c>
      <c r="B376" s="24" t="e">
        <f>VLOOKUP($A376,MINASA!$A$1:$BA$1000,10,FALSE)</f>
        <v>#N/A</v>
      </c>
      <c r="C376" s="20" t="e">
        <f t="shared" si="13"/>
        <v>#N/A</v>
      </c>
      <c r="D376" s="20" t="e">
        <f>VLOOKUP($A376,MINASA!$A$1:$BA$1000,27,FALSE)</f>
        <v>#N/A</v>
      </c>
      <c r="E376" s="20" t="e">
        <f>VLOOKUP($A376,MINASA!$A$1:$BA$1000,26,FALSE)</f>
        <v>#N/A</v>
      </c>
      <c r="F376" s="21" t="e">
        <f>VLOOKUP($A376,MINASA!$A$1:$BA$1000,30,FALSE)</f>
        <v>#N/A</v>
      </c>
      <c r="G376" s="20" t="e">
        <f>VLOOKUP($A376,MINASA!$A$1:$BA$1000,31,FALSE)</f>
        <v>#N/A</v>
      </c>
      <c r="H376" s="20" t="e">
        <f>VLOOKUP($A376,MINASA!$A$1:$BA$1000,47,FALSE)</f>
        <v>#N/A</v>
      </c>
      <c r="I376" s="21" t="e">
        <f>VLOOKUP($A376,MINASA!$A$1:$BA$1000,52,FALSE)</f>
        <v>#N/A</v>
      </c>
      <c r="J376" s="21" t="e">
        <f>VLOOKUP($A376,MINASA!$A$1:$BA$1000,53,FALSE)</f>
        <v>#N/A</v>
      </c>
      <c r="L376" s="20" t="s">
        <v>14</v>
      </c>
      <c r="M376" s="20" t="e">
        <f t="shared" si="14"/>
        <v>#N/A</v>
      </c>
      <c r="N376" s="20" t="s">
        <v>496</v>
      </c>
    </row>
    <row r="377" spans="1:14" ht="81.75" customHeight="1" thickBot="1">
      <c r="A377" s="20">
        <v>376</v>
      </c>
      <c r="B377" s="24" t="e">
        <f>VLOOKUP($A377,MINASA!$A$1:$BA$1000,10,FALSE)</f>
        <v>#N/A</v>
      </c>
      <c r="C377" s="20" t="e">
        <f t="shared" si="13"/>
        <v>#N/A</v>
      </c>
      <c r="D377" s="20" t="e">
        <f>VLOOKUP($A377,MINASA!$A$1:$BA$1000,27,FALSE)</f>
        <v>#N/A</v>
      </c>
      <c r="E377" s="20" t="e">
        <f>VLOOKUP($A377,MINASA!$A$1:$BA$1000,26,FALSE)</f>
        <v>#N/A</v>
      </c>
      <c r="F377" s="21" t="e">
        <f>VLOOKUP($A377,MINASA!$A$1:$BA$1000,30,FALSE)</f>
        <v>#N/A</v>
      </c>
      <c r="G377" s="20" t="e">
        <f>VLOOKUP($A377,MINASA!$A$1:$BA$1000,31,FALSE)</f>
        <v>#N/A</v>
      </c>
      <c r="H377" s="20" t="e">
        <f>VLOOKUP($A377,MINASA!$A$1:$BA$1000,47,FALSE)</f>
        <v>#N/A</v>
      </c>
      <c r="I377" s="21" t="e">
        <f>VLOOKUP($A377,MINASA!$A$1:$BA$1000,52,FALSE)</f>
        <v>#N/A</v>
      </c>
      <c r="J377" s="21" t="e">
        <f>VLOOKUP($A377,MINASA!$A$1:$BA$1000,53,FALSE)</f>
        <v>#N/A</v>
      </c>
      <c r="L377" s="20" t="s">
        <v>14</v>
      </c>
      <c r="M377" s="20" t="e">
        <f t="shared" si="14"/>
        <v>#N/A</v>
      </c>
      <c r="N377" s="20" t="s">
        <v>497</v>
      </c>
    </row>
    <row r="378" spans="1:14" ht="81.75" customHeight="1" thickBot="1">
      <c r="A378" s="20">
        <v>377</v>
      </c>
      <c r="B378" s="24" t="e">
        <f>VLOOKUP($A378,MINASA!$A$1:$BA$1000,10,FALSE)</f>
        <v>#N/A</v>
      </c>
      <c r="C378" s="20" t="e">
        <f t="shared" si="13"/>
        <v>#N/A</v>
      </c>
      <c r="D378" s="20" t="e">
        <f>VLOOKUP($A378,MINASA!$A$1:$BA$1000,27,FALSE)</f>
        <v>#N/A</v>
      </c>
      <c r="E378" s="20" t="e">
        <f>VLOOKUP($A378,MINASA!$A$1:$BA$1000,26,FALSE)</f>
        <v>#N/A</v>
      </c>
      <c r="F378" s="21" t="e">
        <f>VLOOKUP($A378,MINASA!$A$1:$BA$1000,30,FALSE)</f>
        <v>#N/A</v>
      </c>
      <c r="G378" s="20" t="e">
        <f>VLOOKUP($A378,MINASA!$A$1:$BA$1000,31,FALSE)</f>
        <v>#N/A</v>
      </c>
      <c r="H378" s="20" t="e">
        <f>VLOOKUP($A378,MINASA!$A$1:$BA$1000,47,FALSE)</f>
        <v>#N/A</v>
      </c>
      <c r="I378" s="21" t="e">
        <f>VLOOKUP($A378,MINASA!$A$1:$BA$1000,52,FALSE)</f>
        <v>#N/A</v>
      </c>
      <c r="J378" s="21" t="e">
        <f>VLOOKUP($A378,MINASA!$A$1:$BA$1000,53,FALSE)</f>
        <v>#N/A</v>
      </c>
      <c r="L378" s="20" t="s">
        <v>14</v>
      </c>
      <c r="M378" s="20" t="e">
        <f t="shared" si="14"/>
        <v>#N/A</v>
      </c>
      <c r="N378" s="20" t="s">
        <v>498</v>
      </c>
    </row>
    <row r="379" spans="1:14" ht="81.75" customHeight="1" thickBot="1">
      <c r="A379" s="20">
        <v>378</v>
      </c>
      <c r="B379" s="24" t="e">
        <f>VLOOKUP($A379,MINASA!$A$1:$BA$1000,10,FALSE)</f>
        <v>#N/A</v>
      </c>
      <c r="C379" s="20" t="e">
        <f t="shared" si="13"/>
        <v>#N/A</v>
      </c>
      <c r="D379" s="20" t="e">
        <f>VLOOKUP($A379,MINASA!$A$1:$BA$1000,27,FALSE)</f>
        <v>#N/A</v>
      </c>
      <c r="E379" s="20" t="e">
        <f>VLOOKUP($A379,MINASA!$A$1:$BA$1000,26,FALSE)</f>
        <v>#N/A</v>
      </c>
      <c r="F379" s="21" t="e">
        <f>VLOOKUP($A379,MINASA!$A$1:$BA$1000,30,FALSE)</f>
        <v>#N/A</v>
      </c>
      <c r="G379" s="20" t="e">
        <f>VLOOKUP($A379,MINASA!$A$1:$BA$1000,31,FALSE)</f>
        <v>#N/A</v>
      </c>
      <c r="H379" s="20" t="e">
        <f>VLOOKUP($A379,MINASA!$A$1:$BA$1000,47,FALSE)</f>
        <v>#N/A</v>
      </c>
      <c r="I379" s="21" t="e">
        <f>VLOOKUP($A379,MINASA!$A$1:$BA$1000,52,FALSE)</f>
        <v>#N/A</v>
      </c>
      <c r="J379" s="21" t="e">
        <f>VLOOKUP($A379,MINASA!$A$1:$BA$1000,53,FALSE)</f>
        <v>#N/A</v>
      </c>
      <c r="L379" s="20" t="s">
        <v>14</v>
      </c>
      <c r="M379" s="20" t="e">
        <f t="shared" si="14"/>
        <v>#N/A</v>
      </c>
      <c r="N379" s="20" t="s">
        <v>499</v>
      </c>
    </row>
    <row r="380" spans="1:14" ht="81.75" customHeight="1" thickBot="1">
      <c r="A380" s="20">
        <v>379</v>
      </c>
      <c r="B380" s="24" t="e">
        <f>VLOOKUP($A380,MINASA!$A$1:$BA$1000,10,FALSE)</f>
        <v>#N/A</v>
      </c>
      <c r="C380" s="20" t="e">
        <f t="shared" si="13"/>
        <v>#N/A</v>
      </c>
      <c r="D380" s="20" t="e">
        <f>VLOOKUP($A380,MINASA!$A$1:$BA$1000,27,FALSE)</f>
        <v>#N/A</v>
      </c>
      <c r="E380" s="20" t="e">
        <f>VLOOKUP($A380,MINASA!$A$1:$BA$1000,26,FALSE)</f>
        <v>#N/A</v>
      </c>
      <c r="F380" s="21" t="e">
        <f>VLOOKUP($A380,MINASA!$A$1:$BA$1000,30,FALSE)</f>
        <v>#N/A</v>
      </c>
      <c r="G380" s="20" t="e">
        <f>VLOOKUP($A380,MINASA!$A$1:$BA$1000,31,FALSE)</f>
        <v>#N/A</v>
      </c>
      <c r="H380" s="20" t="e">
        <f>VLOOKUP($A380,MINASA!$A$1:$BA$1000,47,FALSE)</f>
        <v>#N/A</v>
      </c>
      <c r="I380" s="21" t="e">
        <f>VLOOKUP($A380,MINASA!$A$1:$BA$1000,52,FALSE)</f>
        <v>#N/A</v>
      </c>
      <c r="J380" s="21" t="e">
        <f>VLOOKUP($A380,MINASA!$A$1:$BA$1000,53,FALSE)</f>
        <v>#N/A</v>
      </c>
      <c r="L380" s="20" t="s">
        <v>14</v>
      </c>
      <c r="M380" s="20" t="e">
        <f t="shared" si="14"/>
        <v>#N/A</v>
      </c>
      <c r="N380" s="20" t="s">
        <v>500</v>
      </c>
    </row>
    <row r="381" spans="1:14" ht="81.75" customHeight="1" thickBot="1">
      <c r="A381" s="20">
        <v>380</v>
      </c>
      <c r="B381" s="24" t="e">
        <f>VLOOKUP($A381,MINASA!$A$1:$BA$1000,10,FALSE)</f>
        <v>#N/A</v>
      </c>
      <c r="C381" s="20" t="e">
        <f t="shared" si="13"/>
        <v>#N/A</v>
      </c>
      <c r="D381" s="20" t="e">
        <f>VLOOKUP($A381,MINASA!$A$1:$BA$1000,27,FALSE)</f>
        <v>#N/A</v>
      </c>
      <c r="E381" s="20" t="e">
        <f>VLOOKUP($A381,MINASA!$A$1:$BA$1000,26,FALSE)</f>
        <v>#N/A</v>
      </c>
      <c r="F381" s="21" t="e">
        <f>VLOOKUP($A381,MINASA!$A$1:$BA$1000,30,FALSE)</f>
        <v>#N/A</v>
      </c>
      <c r="G381" s="20" t="e">
        <f>VLOOKUP($A381,MINASA!$A$1:$BA$1000,31,FALSE)</f>
        <v>#N/A</v>
      </c>
      <c r="H381" s="20" t="e">
        <f>VLOOKUP($A381,MINASA!$A$1:$BA$1000,47,FALSE)</f>
        <v>#N/A</v>
      </c>
      <c r="I381" s="21" t="e">
        <f>VLOOKUP($A381,MINASA!$A$1:$BA$1000,52,FALSE)</f>
        <v>#N/A</v>
      </c>
      <c r="J381" s="21" t="e">
        <f>VLOOKUP($A381,MINASA!$A$1:$BA$1000,53,FALSE)</f>
        <v>#N/A</v>
      </c>
      <c r="L381" s="20" t="s">
        <v>14</v>
      </c>
      <c r="M381" s="20" t="e">
        <f t="shared" si="14"/>
        <v>#N/A</v>
      </c>
      <c r="N381" s="20" t="s">
        <v>501</v>
      </c>
    </row>
    <row r="382" spans="1:14" ht="81.75" customHeight="1" thickBot="1">
      <c r="A382" s="20">
        <v>381</v>
      </c>
      <c r="B382" s="24" t="e">
        <f>VLOOKUP($A382,MINASA!$A$1:$BA$1000,10,FALSE)</f>
        <v>#N/A</v>
      </c>
      <c r="C382" s="20" t="e">
        <f t="shared" si="13"/>
        <v>#N/A</v>
      </c>
      <c r="D382" s="20" t="e">
        <f>VLOOKUP($A382,MINASA!$A$1:$BA$1000,27,FALSE)</f>
        <v>#N/A</v>
      </c>
      <c r="E382" s="20" t="e">
        <f>VLOOKUP($A382,MINASA!$A$1:$BA$1000,26,FALSE)</f>
        <v>#N/A</v>
      </c>
      <c r="F382" s="21" t="e">
        <f>VLOOKUP($A382,MINASA!$A$1:$BA$1000,30,FALSE)</f>
        <v>#N/A</v>
      </c>
      <c r="G382" s="20" t="e">
        <f>VLOOKUP($A382,MINASA!$A$1:$BA$1000,31,FALSE)</f>
        <v>#N/A</v>
      </c>
      <c r="H382" s="20" t="e">
        <f>VLOOKUP($A382,MINASA!$A$1:$BA$1000,47,FALSE)</f>
        <v>#N/A</v>
      </c>
      <c r="I382" s="21" t="e">
        <f>VLOOKUP($A382,MINASA!$A$1:$BA$1000,52,FALSE)</f>
        <v>#N/A</v>
      </c>
      <c r="J382" s="21" t="e">
        <f>VLOOKUP($A382,MINASA!$A$1:$BA$1000,53,FALSE)</f>
        <v>#N/A</v>
      </c>
      <c r="L382" s="20" t="s">
        <v>14</v>
      </c>
      <c r="M382" s="20" t="e">
        <f t="shared" si="14"/>
        <v>#N/A</v>
      </c>
      <c r="N382" s="20" t="s">
        <v>502</v>
      </c>
    </row>
    <row r="383" spans="1:14" ht="81.75" customHeight="1" thickBot="1">
      <c r="A383" s="20">
        <v>382</v>
      </c>
      <c r="B383" s="24" t="e">
        <f>VLOOKUP($A383,MINASA!$A$1:$BA$1000,10,FALSE)</f>
        <v>#N/A</v>
      </c>
      <c r="C383" s="20" t="e">
        <f t="shared" si="13"/>
        <v>#N/A</v>
      </c>
      <c r="D383" s="20" t="e">
        <f>VLOOKUP($A383,MINASA!$A$1:$BA$1000,27,FALSE)</f>
        <v>#N/A</v>
      </c>
      <c r="E383" s="20" t="e">
        <f>VLOOKUP($A383,MINASA!$A$1:$BA$1000,26,FALSE)</f>
        <v>#N/A</v>
      </c>
      <c r="F383" s="21" t="e">
        <f>VLOOKUP($A383,MINASA!$A$1:$BA$1000,30,FALSE)</f>
        <v>#N/A</v>
      </c>
      <c r="G383" s="20" t="e">
        <f>VLOOKUP($A383,MINASA!$A$1:$BA$1000,31,FALSE)</f>
        <v>#N/A</v>
      </c>
      <c r="H383" s="20" t="e">
        <f>VLOOKUP($A383,MINASA!$A$1:$BA$1000,47,FALSE)</f>
        <v>#N/A</v>
      </c>
      <c r="I383" s="21" t="e">
        <f>VLOOKUP($A383,MINASA!$A$1:$BA$1000,52,FALSE)</f>
        <v>#N/A</v>
      </c>
      <c r="J383" s="21" t="e">
        <f>VLOOKUP($A383,MINASA!$A$1:$BA$1000,53,FALSE)</f>
        <v>#N/A</v>
      </c>
      <c r="L383" s="20" t="s">
        <v>14</v>
      </c>
      <c r="M383" s="20" t="e">
        <f t="shared" si="14"/>
        <v>#N/A</v>
      </c>
      <c r="N383" s="20" t="s">
        <v>503</v>
      </c>
    </row>
    <row r="384" spans="1:14" ht="81.75" customHeight="1" thickBot="1">
      <c r="A384" s="20">
        <v>383</v>
      </c>
      <c r="B384" s="24" t="e">
        <f>VLOOKUP($A384,MINASA!$A$1:$BA$1000,10,FALSE)</f>
        <v>#N/A</v>
      </c>
      <c r="C384" s="20" t="e">
        <f t="shared" si="13"/>
        <v>#N/A</v>
      </c>
      <c r="D384" s="20" t="e">
        <f>VLOOKUP($A384,MINASA!$A$1:$BA$1000,27,FALSE)</f>
        <v>#N/A</v>
      </c>
      <c r="E384" s="20" t="e">
        <f>VLOOKUP($A384,MINASA!$A$1:$BA$1000,26,FALSE)</f>
        <v>#N/A</v>
      </c>
      <c r="F384" s="21" t="e">
        <f>VLOOKUP($A384,MINASA!$A$1:$BA$1000,30,FALSE)</f>
        <v>#N/A</v>
      </c>
      <c r="G384" s="20" t="e">
        <f>VLOOKUP($A384,MINASA!$A$1:$BA$1000,31,FALSE)</f>
        <v>#N/A</v>
      </c>
      <c r="H384" s="20" t="e">
        <f>VLOOKUP($A384,MINASA!$A$1:$BA$1000,47,FALSE)</f>
        <v>#N/A</v>
      </c>
      <c r="I384" s="21" t="e">
        <f>VLOOKUP($A384,MINASA!$A$1:$BA$1000,52,FALSE)</f>
        <v>#N/A</v>
      </c>
      <c r="J384" s="21" t="e">
        <f>VLOOKUP($A384,MINASA!$A$1:$BA$1000,53,FALSE)</f>
        <v>#N/A</v>
      </c>
      <c r="L384" s="20" t="s">
        <v>14</v>
      </c>
      <c r="M384" s="20" t="e">
        <f t="shared" si="14"/>
        <v>#N/A</v>
      </c>
      <c r="N384" s="20" t="s">
        <v>504</v>
      </c>
    </row>
    <row r="385" spans="1:14" ht="81.75" customHeight="1" thickBot="1">
      <c r="A385" s="20">
        <v>384</v>
      </c>
      <c r="B385" s="24" t="e">
        <f>VLOOKUP($A385,MINASA!$A$1:$BA$1000,10,FALSE)</f>
        <v>#N/A</v>
      </c>
      <c r="C385" s="20" t="e">
        <f t="shared" si="13"/>
        <v>#N/A</v>
      </c>
      <c r="D385" s="20" t="e">
        <f>VLOOKUP($A385,MINASA!$A$1:$BA$1000,27,FALSE)</f>
        <v>#N/A</v>
      </c>
      <c r="E385" s="20" t="e">
        <f>VLOOKUP($A385,MINASA!$A$1:$BA$1000,26,FALSE)</f>
        <v>#N/A</v>
      </c>
      <c r="F385" s="21" t="e">
        <f>VLOOKUP($A385,MINASA!$A$1:$BA$1000,30,FALSE)</f>
        <v>#N/A</v>
      </c>
      <c r="G385" s="20" t="e">
        <f>VLOOKUP($A385,MINASA!$A$1:$BA$1000,31,FALSE)</f>
        <v>#N/A</v>
      </c>
      <c r="H385" s="20" t="e">
        <f>VLOOKUP($A385,MINASA!$A$1:$BA$1000,47,FALSE)</f>
        <v>#N/A</v>
      </c>
      <c r="I385" s="21" t="e">
        <f>VLOOKUP($A385,MINASA!$A$1:$BA$1000,52,FALSE)</f>
        <v>#N/A</v>
      </c>
      <c r="J385" s="21" t="e">
        <f>VLOOKUP($A385,MINASA!$A$1:$BA$1000,53,FALSE)</f>
        <v>#N/A</v>
      </c>
      <c r="L385" s="20" t="s">
        <v>14</v>
      </c>
      <c r="M385" s="20" t="e">
        <f t="shared" si="14"/>
        <v>#N/A</v>
      </c>
      <c r="N385" s="20" t="s">
        <v>505</v>
      </c>
    </row>
    <row r="386" spans="1:14" ht="81.75" customHeight="1" thickBot="1">
      <c r="A386" s="20">
        <v>385</v>
      </c>
      <c r="B386" s="24" t="e">
        <f>VLOOKUP($A386,MINASA!$A$1:$BA$1000,10,FALSE)</f>
        <v>#N/A</v>
      </c>
      <c r="C386" s="20" t="e">
        <f t="shared" si="13"/>
        <v>#N/A</v>
      </c>
      <c r="D386" s="20" t="e">
        <f>VLOOKUP($A386,MINASA!$A$1:$BA$1000,27,FALSE)</f>
        <v>#N/A</v>
      </c>
      <c r="E386" s="20" t="e">
        <f>VLOOKUP($A386,MINASA!$A$1:$BA$1000,26,FALSE)</f>
        <v>#N/A</v>
      </c>
      <c r="F386" s="21" t="e">
        <f>VLOOKUP($A386,MINASA!$A$1:$BA$1000,30,FALSE)</f>
        <v>#N/A</v>
      </c>
      <c r="G386" s="20" t="e">
        <f>VLOOKUP($A386,MINASA!$A$1:$BA$1000,31,FALSE)</f>
        <v>#N/A</v>
      </c>
      <c r="H386" s="20" t="e">
        <f>VLOOKUP($A386,MINASA!$A$1:$BA$1000,47,FALSE)</f>
        <v>#N/A</v>
      </c>
      <c r="I386" s="21" t="e">
        <f>VLOOKUP($A386,MINASA!$A$1:$BA$1000,52,FALSE)</f>
        <v>#N/A</v>
      </c>
      <c r="J386" s="21" t="e">
        <f>VLOOKUP($A386,MINASA!$A$1:$BA$1000,53,FALSE)</f>
        <v>#N/A</v>
      </c>
      <c r="L386" s="20" t="s">
        <v>14</v>
      </c>
      <c r="M386" s="20" t="e">
        <f t="shared" si="14"/>
        <v>#N/A</v>
      </c>
      <c r="N386" s="20" t="s">
        <v>506</v>
      </c>
    </row>
    <row r="387" spans="1:14" ht="81.75" customHeight="1" thickBot="1">
      <c r="A387" s="20">
        <v>386</v>
      </c>
      <c r="B387" s="24" t="e">
        <f>VLOOKUP($A387,MINASA!$A$1:$BA$1000,10,FALSE)</f>
        <v>#N/A</v>
      </c>
      <c r="C387" s="20" t="e">
        <f t="shared" si="13"/>
        <v>#N/A</v>
      </c>
      <c r="D387" s="20" t="e">
        <f>VLOOKUP($A387,MINASA!$A$1:$BA$1000,27,FALSE)</f>
        <v>#N/A</v>
      </c>
      <c r="E387" s="20" t="e">
        <f>VLOOKUP($A387,MINASA!$A$1:$BA$1000,26,FALSE)</f>
        <v>#N/A</v>
      </c>
      <c r="F387" s="21" t="e">
        <f>VLOOKUP($A387,MINASA!$A$1:$BA$1000,30,FALSE)</f>
        <v>#N/A</v>
      </c>
      <c r="G387" s="20" t="e">
        <f>VLOOKUP($A387,MINASA!$A$1:$BA$1000,31,FALSE)</f>
        <v>#N/A</v>
      </c>
      <c r="H387" s="20" t="e">
        <f>VLOOKUP($A387,MINASA!$A$1:$BA$1000,47,FALSE)</f>
        <v>#N/A</v>
      </c>
      <c r="I387" s="21" t="e">
        <f>VLOOKUP($A387,MINASA!$A$1:$BA$1000,52,FALSE)</f>
        <v>#N/A</v>
      </c>
      <c r="J387" s="21" t="e">
        <f>VLOOKUP($A387,MINASA!$A$1:$BA$1000,53,FALSE)</f>
        <v>#N/A</v>
      </c>
      <c r="L387" s="20" t="s">
        <v>14</v>
      </c>
      <c r="M387" s="20" t="e">
        <f t="shared" si="14"/>
        <v>#N/A</v>
      </c>
      <c r="N387" s="20" t="s">
        <v>506</v>
      </c>
    </row>
    <row r="388" spans="1:14" ht="81.75" customHeight="1" thickBot="1">
      <c r="A388" s="20">
        <v>387</v>
      </c>
      <c r="B388" s="24" t="e">
        <f>VLOOKUP($A388,MINASA!$A$1:$BA$1000,10,FALSE)</f>
        <v>#N/A</v>
      </c>
      <c r="C388" s="20" t="e">
        <f t="shared" si="13"/>
        <v>#N/A</v>
      </c>
      <c r="D388" s="20" t="e">
        <f>VLOOKUP($A388,MINASA!$A$1:$BA$1000,27,FALSE)</f>
        <v>#N/A</v>
      </c>
      <c r="E388" s="20" t="e">
        <f>VLOOKUP($A388,MINASA!$A$1:$BA$1000,26,FALSE)</f>
        <v>#N/A</v>
      </c>
      <c r="F388" s="21" t="e">
        <f>VLOOKUP($A388,MINASA!$A$1:$BA$1000,30,FALSE)</f>
        <v>#N/A</v>
      </c>
      <c r="G388" s="20" t="e">
        <f>VLOOKUP($A388,MINASA!$A$1:$BA$1000,31,FALSE)</f>
        <v>#N/A</v>
      </c>
      <c r="H388" s="20" t="e">
        <f>VLOOKUP($A388,MINASA!$A$1:$BA$1000,47,FALSE)</f>
        <v>#N/A</v>
      </c>
      <c r="I388" s="21" t="e">
        <f>VLOOKUP($A388,MINASA!$A$1:$BA$1000,52,FALSE)</f>
        <v>#N/A</v>
      </c>
      <c r="J388" s="21" t="e">
        <f>VLOOKUP($A388,MINASA!$A$1:$BA$1000,53,FALSE)</f>
        <v>#N/A</v>
      </c>
      <c r="L388" s="20" t="s">
        <v>14</v>
      </c>
      <c r="M388" s="20" t="e">
        <f t="shared" si="14"/>
        <v>#N/A</v>
      </c>
      <c r="N388" s="20" t="s">
        <v>506</v>
      </c>
    </row>
    <row r="389" spans="1:14" ht="81.75" customHeight="1" thickBot="1">
      <c r="A389" s="20">
        <v>388</v>
      </c>
      <c r="B389" s="24" t="e">
        <f>VLOOKUP($A389,MINASA!$A$1:$BA$1000,10,FALSE)</f>
        <v>#N/A</v>
      </c>
      <c r="C389" s="20" t="e">
        <f t="shared" si="13"/>
        <v>#N/A</v>
      </c>
      <c r="D389" s="20" t="e">
        <f>VLOOKUP($A389,MINASA!$A$1:$BA$1000,27,FALSE)</f>
        <v>#N/A</v>
      </c>
      <c r="E389" s="20" t="e">
        <f>VLOOKUP($A389,MINASA!$A$1:$BA$1000,26,FALSE)</f>
        <v>#N/A</v>
      </c>
      <c r="F389" s="21" t="e">
        <f>VLOOKUP($A389,MINASA!$A$1:$BA$1000,30,FALSE)</f>
        <v>#N/A</v>
      </c>
      <c r="G389" s="20" t="e">
        <f>VLOOKUP($A389,MINASA!$A$1:$BA$1000,31,FALSE)</f>
        <v>#N/A</v>
      </c>
      <c r="H389" s="20" t="e">
        <f>VLOOKUP($A389,MINASA!$A$1:$BA$1000,47,FALSE)</f>
        <v>#N/A</v>
      </c>
      <c r="I389" s="21" t="e">
        <f>VLOOKUP($A389,MINASA!$A$1:$BA$1000,52,FALSE)</f>
        <v>#N/A</v>
      </c>
      <c r="J389" s="21" t="e">
        <f>VLOOKUP($A389,MINASA!$A$1:$BA$1000,53,FALSE)</f>
        <v>#N/A</v>
      </c>
      <c r="L389" s="20" t="s">
        <v>14</v>
      </c>
      <c r="M389" s="20" t="e">
        <f t="shared" si="14"/>
        <v>#N/A</v>
      </c>
      <c r="N389" s="20" t="s">
        <v>506</v>
      </c>
    </row>
    <row r="390" spans="1:14" ht="81.75" customHeight="1" thickBot="1">
      <c r="A390" s="20">
        <v>389</v>
      </c>
      <c r="B390" s="24" t="e">
        <f>VLOOKUP($A390,MINASA!$A$1:$BA$1000,10,FALSE)</f>
        <v>#N/A</v>
      </c>
      <c r="C390" s="20" t="e">
        <f t="shared" si="13"/>
        <v>#N/A</v>
      </c>
      <c r="D390" s="20" t="e">
        <f>VLOOKUP($A390,MINASA!$A$1:$BA$1000,27,FALSE)</f>
        <v>#N/A</v>
      </c>
      <c r="E390" s="20" t="e">
        <f>VLOOKUP($A390,MINASA!$A$1:$BA$1000,26,FALSE)</f>
        <v>#N/A</v>
      </c>
      <c r="F390" s="21" t="e">
        <f>VLOOKUP($A390,MINASA!$A$1:$BA$1000,30,FALSE)</f>
        <v>#N/A</v>
      </c>
      <c r="G390" s="20" t="e">
        <f>VLOOKUP($A390,MINASA!$A$1:$BA$1000,31,FALSE)</f>
        <v>#N/A</v>
      </c>
      <c r="H390" s="20" t="e">
        <f>VLOOKUP($A390,MINASA!$A$1:$BA$1000,47,FALSE)</f>
        <v>#N/A</v>
      </c>
      <c r="I390" s="21" t="e">
        <f>VLOOKUP($A390,MINASA!$A$1:$BA$1000,52,FALSE)</f>
        <v>#N/A</v>
      </c>
      <c r="J390" s="21" t="e">
        <f>VLOOKUP($A390,MINASA!$A$1:$BA$1000,53,FALSE)</f>
        <v>#N/A</v>
      </c>
      <c r="L390" s="20" t="s">
        <v>14</v>
      </c>
      <c r="M390" s="20" t="e">
        <f t="shared" si="14"/>
        <v>#N/A</v>
      </c>
      <c r="N390" s="20" t="s">
        <v>506</v>
      </c>
    </row>
    <row r="391" spans="1:14" ht="81.75" customHeight="1" thickBot="1">
      <c r="A391" s="20">
        <v>390</v>
      </c>
      <c r="B391" s="24" t="e">
        <f>VLOOKUP($A391,MINASA!$A$1:$BA$1000,10,FALSE)</f>
        <v>#N/A</v>
      </c>
      <c r="C391" s="20" t="e">
        <f t="shared" si="13"/>
        <v>#N/A</v>
      </c>
      <c r="D391" s="20" t="e">
        <f>VLOOKUP($A391,MINASA!$A$1:$BA$1000,27,FALSE)</f>
        <v>#N/A</v>
      </c>
      <c r="E391" s="20" t="e">
        <f>VLOOKUP($A391,MINASA!$A$1:$BA$1000,26,FALSE)</f>
        <v>#N/A</v>
      </c>
      <c r="F391" s="21" t="e">
        <f>VLOOKUP($A391,MINASA!$A$1:$BA$1000,30,FALSE)</f>
        <v>#N/A</v>
      </c>
      <c r="G391" s="20" t="e">
        <f>VLOOKUP($A391,MINASA!$A$1:$BA$1000,31,FALSE)</f>
        <v>#N/A</v>
      </c>
      <c r="H391" s="20" t="e">
        <f>VLOOKUP($A391,MINASA!$A$1:$BA$1000,47,FALSE)</f>
        <v>#N/A</v>
      </c>
      <c r="I391" s="21" t="e">
        <f>VLOOKUP($A391,MINASA!$A$1:$BA$1000,52,FALSE)</f>
        <v>#N/A</v>
      </c>
      <c r="J391" s="21" t="e">
        <f>VLOOKUP($A391,MINASA!$A$1:$BA$1000,53,FALSE)</f>
        <v>#N/A</v>
      </c>
      <c r="L391" s="20" t="s">
        <v>14</v>
      </c>
      <c r="M391" s="20" t="e">
        <f t="shared" si="14"/>
        <v>#N/A</v>
      </c>
      <c r="N391" s="20" t="s">
        <v>506</v>
      </c>
    </row>
    <row r="392" spans="1:14" ht="81.75" customHeight="1" thickBot="1">
      <c r="A392" s="20">
        <v>391</v>
      </c>
      <c r="B392" s="24" t="e">
        <f>VLOOKUP($A392,MINASA!$A$1:$BA$1000,10,FALSE)</f>
        <v>#N/A</v>
      </c>
      <c r="C392" s="20" t="e">
        <f t="shared" si="13"/>
        <v>#N/A</v>
      </c>
      <c r="D392" s="20" t="e">
        <f>VLOOKUP($A392,MINASA!$A$1:$BA$1000,27,FALSE)</f>
        <v>#N/A</v>
      </c>
      <c r="E392" s="20" t="e">
        <f>VLOOKUP($A392,MINASA!$A$1:$BA$1000,26,FALSE)</f>
        <v>#N/A</v>
      </c>
      <c r="F392" s="21" t="e">
        <f>VLOOKUP($A392,MINASA!$A$1:$BA$1000,30,FALSE)</f>
        <v>#N/A</v>
      </c>
      <c r="G392" s="20" t="e">
        <f>VLOOKUP($A392,MINASA!$A$1:$BA$1000,31,FALSE)</f>
        <v>#N/A</v>
      </c>
      <c r="H392" s="20" t="e">
        <f>VLOOKUP($A392,MINASA!$A$1:$BA$1000,47,FALSE)</f>
        <v>#N/A</v>
      </c>
      <c r="I392" s="21" t="e">
        <f>VLOOKUP($A392,MINASA!$A$1:$BA$1000,52,FALSE)</f>
        <v>#N/A</v>
      </c>
      <c r="J392" s="21" t="e">
        <f>VLOOKUP($A392,MINASA!$A$1:$BA$1000,53,FALSE)</f>
        <v>#N/A</v>
      </c>
      <c r="L392" s="20" t="s">
        <v>14</v>
      </c>
      <c r="M392" s="20" t="e">
        <f t="shared" si="14"/>
        <v>#N/A</v>
      </c>
      <c r="N392" s="20" t="s">
        <v>506</v>
      </c>
    </row>
    <row r="393" spans="1:14" ht="81.75" customHeight="1" thickBot="1">
      <c r="A393" s="20">
        <v>392</v>
      </c>
      <c r="B393" s="24" t="e">
        <f>VLOOKUP($A393,MINASA!$A$1:$BA$1000,10,FALSE)</f>
        <v>#N/A</v>
      </c>
      <c r="C393" s="20" t="e">
        <f t="shared" si="13"/>
        <v>#N/A</v>
      </c>
      <c r="D393" s="20" t="e">
        <f>VLOOKUP($A393,MINASA!$A$1:$BA$1000,27,FALSE)</f>
        <v>#N/A</v>
      </c>
      <c r="E393" s="20" t="e">
        <f>VLOOKUP($A393,MINASA!$A$1:$BA$1000,26,FALSE)</f>
        <v>#N/A</v>
      </c>
      <c r="F393" s="21" t="e">
        <f>VLOOKUP($A393,MINASA!$A$1:$BA$1000,30,FALSE)</f>
        <v>#N/A</v>
      </c>
      <c r="G393" s="20" t="e">
        <f>VLOOKUP($A393,MINASA!$A$1:$BA$1000,31,FALSE)</f>
        <v>#N/A</v>
      </c>
      <c r="H393" s="20" t="e">
        <f>VLOOKUP($A393,MINASA!$A$1:$BA$1000,47,FALSE)</f>
        <v>#N/A</v>
      </c>
      <c r="I393" s="21" t="e">
        <f>VLOOKUP($A393,MINASA!$A$1:$BA$1000,52,FALSE)</f>
        <v>#N/A</v>
      </c>
      <c r="J393" s="21" t="e">
        <f>VLOOKUP($A393,MINASA!$A$1:$BA$1000,53,FALSE)</f>
        <v>#N/A</v>
      </c>
      <c r="L393" s="20" t="s">
        <v>14</v>
      </c>
      <c r="M393" s="20" t="e">
        <f t="shared" si="14"/>
        <v>#N/A</v>
      </c>
      <c r="N393" s="20" t="s">
        <v>506</v>
      </c>
    </row>
    <row r="394" spans="1:14" ht="81.75" customHeight="1" thickBot="1">
      <c r="A394" s="20">
        <v>393</v>
      </c>
      <c r="B394" s="24" t="e">
        <f>VLOOKUP($A394,MINASA!$A$1:$BA$1000,10,FALSE)</f>
        <v>#N/A</v>
      </c>
      <c r="C394" s="20" t="e">
        <f t="shared" si="13"/>
        <v>#N/A</v>
      </c>
      <c r="D394" s="20" t="e">
        <f>VLOOKUP($A394,MINASA!$A$1:$BA$1000,27,FALSE)</f>
        <v>#N/A</v>
      </c>
      <c r="E394" s="20" t="e">
        <f>VLOOKUP($A394,MINASA!$A$1:$BA$1000,26,FALSE)</f>
        <v>#N/A</v>
      </c>
      <c r="F394" s="21" t="e">
        <f>VLOOKUP($A394,MINASA!$A$1:$BA$1000,30,FALSE)</f>
        <v>#N/A</v>
      </c>
      <c r="G394" s="20" t="e">
        <f>VLOOKUP($A394,MINASA!$A$1:$BA$1000,31,FALSE)</f>
        <v>#N/A</v>
      </c>
      <c r="H394" s="20" t="e">
        <f>VLOOKUP($A394,MINASA!$A$1:$BA$1000,47,FALSE)</f>
        <v>#N/A</v>
      </c>
      <c r="I394" s="21" t="e">
        <f>VLOOKUP($A394,MINASA!$A$1:$BA$1000,52,FALSE)</f>
        <v>#N/A</v>
      </c>
      <c r="J394" s="21" t="e">
        <f>VLOOKUP($A394,MINASA!$A$1:$BA$1000,53,FALSE)</f>
        <v>#N/A</v>
      </c>
      <c r="L394" s="20" t="s">
        <v>14</v>
      </c>
      <c r="M394" s="20" t="e">
        <f t="shared" si="14"/>
        <v>#N/A</v>
      </c>
      <c r="N394" s="20" t="s">
        <v>506</v>
      </c>
    </row>
    <row r="395" spans="1:14" ht="81.75" customHeight="1" thickBot="1">
      <c r="A395" s="20">
        <v>394</v>
      </c>
      <c r="B395" s="24" t="e">
        <f>VLOOKUP($A395,MINASA!$A$1:$BA$1000,10,FALSE)</f>
        <v>#N/A</v>
      </c>
      <c r="C395" s="20" t="e">
        <f t="shared" si="13"/>
        <v>#N/A</v>
      </c>
      <c r="D395" s="20" t="e">
        <f>VLOOKUP($A395,MINASA!$A$1:$BA$1000,27,FALSE)</f>
        <v>#N/A</v>
      </c>
      <c r="E395" s="20" t="e">
        <f>VLOOKUP($A395,MINASA!$A$1:$BA$1000,26,FALSE)</f>
        <v>#N/A</v>
      </c>
      <c r="F395" s="21" t="e">
        <f>VLOOKUP($A395,MINASA!$A$1:$BA$1000,30,FALSE)</f>
        <v>#N/A</v>
      </c>
      <c r="G395" s="20" t="e">
        <f>VLOOKUP($A395,MINASA!$A$1:$BA$1000,31,FALSE)</f>
        <v>#N/A</v>
      </c>
      <c r="H395" s="20" t="e">
        <f>VLOOKUP($A395,MINASA!$A$1:$BA$1000,47,FALSE)</f>
        <v>#N/A</v>
      </c>
      <c r="I395" s="21" t="e">
        <f>VLOOKUP($A395,MINASA!$A$1:$BA$1000,52,FALSE)</f>
        <v>#N/A</v>
      </c>
      <c r="J395" s="21" t="e">
        <f>VLOOKUP($A395,MINASA!$A$1:$BA$1000,53,FALSE)</f>
        <v>#N/A</v>
      </c>
      <c r="L395" s="20" t="s">
        <v>14</v>
      </c>
      <c r="M395" s="20" t="e">
        <f t="shared" si="14"/>
        <v>#N/A</v>
      </c>
      <c r="N395" s="20" t="s">
        <v>506</v>
      </c>
    </row>
    <row r="396" spans="1:14" ht="81.75" customHeight="1" thickBot="1">
      <c r="A396" s="20">
        <v>395</v>
      </c>
      <c r="B396" s="24" t="e">
        <f>VLOOKUP($A396,MINASA!$A$1:$BA$1000,10,FALSE)</f>
        <v>#N/A</v>
      </c>
      <c r="C396" s="20" t="e">
        <f t="shared" si="13"/>
        <v>#N/A</v>
      </c>
      <c r="D396" s="20" t="e">
        <f>VLOOKUP($A396,MINASA!$A$1:$BA$1000,27,FALSE)</f>
        <v>#N/A</v>
      </c>
      <c r="E396" s="20" t="e">
        <f>VLOOKUP($A396,MINASA!$A$1:$BA$1000,26,FALSE)</f>
        <v>#N/A</v>
      </c>
      <c r="F396" s="21" t="e">
        <f>VLOOKUP($A396,MINASA!$A$1:$BA$1000,30,FALSE)</f>
        <v>#N/A</v>
      </c>
      <c r="G396" s="20" t="e">
        <f>VLOOKUP($A396,MINASA!$A$1:$BA$1000,31,FALSE)</f>
        <v>#N/A</v>
      </c>
      <c r="H396" s="20" t="e">
        <f>VLOOKUP($A396,MINASA!$A$1:$BA$1000,47,FALSE)</f>
        <v>#N/A</v>
      </c>
      <c r="I396" s="21" t="e">
        <f>VLOOKUP($A396,MINASA!$A$1:$BA$1000,52,FALSE)</f>
        <v>#N/A</v>
      </c>
      <c r="J396" s="21" t="e">
        <f>VLOOKUP($A396,MINASA!$A$1:$BA$1000,53,FALSE)</f>
        <v>#N/A</v>
      </c>
      <c r="L396" s="20" t="s">
        <v>14</v>
      </c>
      <c r="M396" s="20" t="e">
        <f t="shared" si="14"/>
        <v>#N/A</v>
      </c>
      <c r="N396" s="20" t="s">
        <v>506</v>
      </c>
    </row>
    <row r="397" spans="1:14" ht="81.75" customHeight="1" thickBot="1">
      <c r="A397" s="20">
        <v>396</v>
      </c>
      <c r="B397" s="24" t="e">
        <f>VLOOKUP($A397,MINASA!$A$1:$BA$1000,10,FALSE)</f>
        <v>#N/A</v>
      </c>
      <c r="C397" s="20" t="e">
        <f t="shared" si="13"/>
        <v>#N/A</v>
      </c>
      <c r="D397" s="20" t="e">
        <f>VLOOKUP($A397,MINASA!$A$1:$BA$1000,27,FALSE)</f>
        <v>#N/A</v>
      </c>
      <c r="E397" s="20" t="e">
        <f>VLOOKUP($A397,MINASA!$A$1:$BA$1000,26,FALSE)</f>
        <v>#N/A</v>
      </c>
      <c r="F397" s="21" t="e">
        <f>VLOOKUP($A397,MINASA!$A$1:$BA$1000,30,FALSE)</f>
        <v>#N/A</v>
      </c>
      <c r="G397" s="20" t="e">
        <f>VLOOKUP($A397,MINASA!$A$1:$BA$1000,31,FALSE)</f>
        <v>#N/A</v>
      </c>
      <c r="H397" s="20" t="e">
        <f>VLOOKUP($A397,MINASA!$A$1:$BA$1000,47,FALSE)</f>
        <v>#N/A</v>
      </c>
      <c r="I397" s="21" t="e">
        <f>VLOOKUP($A397,MINASA!$A$1:$BA$1000,52,FALSE)</f>
        <v>#N/A</v>
      </c>
      <c r="J397" s="21" t="e">
        <f>VLOOKUP($A397,MINASA!$A$1:$BA$1000,53,FALSE)</f>
        <v>#N/A</v>
      </c>
      <c r="L397" s="20" t="s">
        <v>14</v>
      </c>
      <c r="M397" s="20" t="e">
        <f t="shared" si="14"/>
        <v>#N/A</v>
      </c>
      <c r="N397" s="20" t="s">
        <v>506</v>
      </c>
    </row>
    <row r="398" spans="1:14" ht="81.75" customHeight="1" thickBot="1">
      <c r="A398" s="20">
        <v>397</v>
      </c>
      <c r="B398" s="24" t="e">
        <f>VLOOKUP($A398,MINASA!$A$1:$BA$1000,10,FALSE)</f>
        <v>#N/A</v>
      </c>
      <c r="C398" s="20" t="e">
        <f t="shared" si="13"/>
        <v>#N/A</v>
      </c>
      <c r="D398" s="20" t="e">
        <f>VLOOKUP($A398,MINASA!$A$1:$BA$1000,27,FALSE)</f>
        <v>#N/A</v>
      </c>
      <c r="E398" s="20" t="e">
        <f>VLOOKUP($A398,MINASA!$A$1:$BA$1000,26,FALSE)</f>
        <v>#N/A</v>
      </c>
      <c r="F398" s="21" t="e">
        <f>VLOOKUP($A398,MINASA!$A$1:$BA$1000,30,FALSE)</f>
        <v>#N/A</v>
      </c>
      <c r="G398" s="20" t="e">
        <f>VLOOKUP($A398,MINASA!$A$1:$BA$1000,31,FALSE)</f>
        <v>#N/A</v>
      </c>
      <c r="H398" s="20" t="e">
        <f>VLOOKUP($A398,MINASA!$A$1:$BA$1000,47,FALSE)</f>
        <v>#N/A</v>
      </c>
      <c r="I398" s="21" t="e">
        <f>VLOOKUP($A398,MINASA!$A$1:$BA$1000,52,FALSE)</f>
        <v>#N/A</v>
      </c>
      <c r="J398" s="21" t="e">
        <f>VLOOKUP($A398,MINASA!$A$1:$BA$1000,53,FALSE)</f>
        <v>#N/A</v>
      </c>
      <c r="L398" s="20" t="s">
        <v>14</v>
      </c>
      <c r="M398" s="20" t="e">
        <f t="shared" si="14"/>
        <v>#N/A</v>
      </c>
      <c r="N398" s="20" t="s">
        <v>506</v>
      </c>
    </row>
    <row r="399" spans="1:14" ht="81.75" customHeight="1" thickBot="1">
      <c r="A399" s="20">
        <v>398</v>
      </c>
      <c r="B399" s="24" t="e">
        <f>VLOOKUP($A399,MINASA!$A$1:$BA$1000,10,FALSE)</f>
        <v>#N/A</v>
      </c>
      <c r="C399" s="20" t="e">
        <f t="shared" si="13"/>
        <v>#N/A</v>
      </c>
      <c r="D399" s="20" t="e">
        <f>VLOOKUP($A399,MINASA!$A$1:$BA$1000,27,FALSE)</f>
        <v>#N/A</v>
      </c>
      <c r="E399" s="20" t="e">
        <f>VLOOKUP($A399,MINASA!$A$1:$BA$1000,26,FALSE)</f>
        <v>#N/A</v>
      </c>
      <c r="F399" s="21" t="e">
        <f>VLOOKUP($A399,MINASA!$A$1:$BA$1000,30,FALSE)</f>
        <v>#N/A</v>
      </c>
      <c r="G399" s="20" t="e">
        <f>VLOOKUP($A399,MINASA!$A$1:$BA$1000,31,FALSE)</f>
        <v>#N/A</v>
      </c>
      <c r="H399" s="20" t="e">
        <f>VLOOKUP($A399,MINASA!$A$1:$BA$1000,47,FALSE)</f>
        <v>#N/A</v>
      </c>
      <c r="I399" s="21" t="e">
        <f>VLOOKUP($A399,MINASA!$A$1:$BA$1000,52,FALSE)</f>
        <v>#N/A</v>
      </c>
      <c r="J399" s="21" t="e">
        <f>VLOOKUP($A399,MINASA!$A$1:$BA$1000,53,FALSE)</f>
        <v>#N/A</v>
      </c>
      <c r="L399" s="20" t="s">
        <v>14</v>
      </c>
      <c r="M399" s="20" t="e">
        <f t="shared" si="14"/>
        <v>#N/A</v>
      </c>
      <c r="N399" s="20" t="s">
        <v>506</v>
      </c>
    </row>
    <row r="400" spans="1:14" ht="81.75" customHeight="1" thickBot="1">
      <c r="A400" s="20">
        <v>399</v>
      </c>
      <c r="B400" s="24" t="e">
        <f>VLOOKUP($A400,MINASA!$A$1:$BA$1000,10,FALSE)</f>
        <v>#N/A</v>
      </c>
      <c r="C400" s="20" t="e">
        <f t="shared" si="13"/>
        <v>#N/A</v>
      </c>
      <c r="D400" s="20" t="e">
        <f>VLOOKUP($A400,MINASA!$A$1:$BA$1000,27,FALSE)</f>
        <v>#N/A</v>
      </c>
      <c r="E400" s="20" t="e">
        <f>VLOOKUP($A400,MINASA!$A$1:$BA$1000,26,FALSE)</f>
        <v>#N/A</v>
      </c>
      <c r="F400" s="21" t="e">
        <f>VLOOKUP($A400,MINASA!$A$1:$BA$1000,30,FALSE)</f>
        <v>#N/A</v>
      </c>
      <c r="G400" s="20" t="e">
        <f>VLOOKUP($A400,MINASA!$A$1:$BA$1000,31,FALSE)</f>
        <v>#N/A</v>
      </c>
      <c r="H400" s="20" t="e">
        <f>VLOOKUP($A400,MINASA!$A$1:$BA$1000,47,FALSE)</f>
        <v>#N/A</v>
      </c>
      <c r="I400" s="21" t="e">
        <f>VLOOKUP($A400,MINASA!$A$1:$BA$1000,52,FALSE)</f>
        <v>#N/A</v>
      </c>
      <c r="J400" s="21" t="e">
        <f>VLOOKUP($A400,MINASA!$A$1:$BA$1000,53,FALSE)</f>
        <v>#N/A</v>
      </c>
      <c r="L400" s="20" t="s">
        <v>14</v>
      </c>
      <c r="M400" s="20" t="e">
        <f t="shared" si="14"/>
        <v>#N/A</v>
      </c>
      <c r="N400" s="20" t="s">
        <v>506</v>
      </c>
    </row>
    <row r="401" spans="1:14" ht="81.75" customHeight="1" thickBot="1">
      <c r="A401" s="20">
        <v>400</v>
      </c>
      <c r="B401" s="24" t="e">
        <f>VLOOKUP($A401,MINASA!$A$1:$BA$1000,10,FALSE)</f>
        <v>#N/A</v>
      </c>
      <c r="C401" s="20" t="e">
        <f t="shared" si="13"/>
        <v>#N/A</v>
      </c>
      <c r="D401" s="20" t="e">
        <f>VLOOKUP($A401,MINASA!$A$1:$BA$1000,27,FALSE)</f>
        <v>#N/A</v>
      </c>
      <c r="E401" s="20" t="e">
        <f>VLOOKUP($A401,MINASA!$A$1:$BA$1000,26,FALSE)</f>
        <v>#N/A</v>
      </c>
      <c r="F401" s="21" t="e">
        <f>VLOOKUP($A401,MINASA!$A$1:$BA$1000,30,FALSE)</f>
        <v>#N/A</v>
      </c>
      <c r="G401" s="20" t="e">
        <f>VLOOKUP($A401,MINASA!$A$1:$BA$1000,31,FALSE)</f>
        <v>#N/A</v>
      </c>
      <c r="H401" s="20" t="e">
        <f>VLOOKUP($A401,MINASA!$A$1:$BA$1000,47,FALSE)</f>
        <v>#N/A</v>
      </c>
      <c r="I401" s="21" t="e">
        <f>VLOOKUP($A401,MINASA!$A$1:$BA$1000,52,FALSE)</f>
        <v>#N/A</v>
      </c>
      <c r="J401" s="21" t="e">
        <f>VLOOKUP($A401,MINASA!$A$1:$BA$1000,53,FALSE)</f>
        <v>#N/A</v>
      </c>
      <c r="L401" s="20" t="s">
        <v>14</v>
      </c>
      <c r="M401" s="20" t="e">
        <f t="shared" si="14"/>
        <v>#N/A</v>
      </c>
      <c r="N401" s="20" t="s">
        <v>506</v>
      </c>
    </row>
    <row r="402" spans="1:14" ht="81.75" customHeight="1" thickBot="1">
      <c r="A402" s="20">
        <v>401</v>
      </c>
      <c r="L402" s="20" t="s">
        <v>14</v>
      </c>
      <c r="M402" s="20" t="str">
        <f t="shared" si="14"/>
        <v>C:\Users\BenSelilih_Info\Pictures\photo\.jpg</v>
      </c>
      <c r="N402" s="20" t="s">
        <v>507</v>
      </c>
    </row>
    <row r="403" spans="1:14" ht="81.75" customHeight="1" thickBot="1">
      <c r="A403" s="20">
        <v>402</v>
      </c>
      <c r="L403" s="20" t="s">
        <v>14</v>
      </c>
      <c r="M403" s="20" t="str">
        <f t="shared" si="14"/>
        <v>C:\Users\BenSelilih_Info\Pictures\photo\.jpg</v>
      </c>
      <c r="N403" s="20" t="s">
        <v>507</v>
      </c>
    </row>
    <row r="404" spans="1:14" ht="81.75" customHeight="1" thickBot="1">
      <c r="A404" s="20">
        <v>403</v>
      </c>
      <c r="L404" s="20" t="s">
        <v>14</v>
      </c>
      <c r="M404" s="20" t="str">
        <f t="shared" si="14"/>
        <v>C:\Users\BenSelilih_Info\Pictures\photo\.jpg</v>
      </c>
      <c r="N404" s="20" t="s">
        <v>507</v>
      </c>
    </row>
    <row r="405" spans="1:14" ht="81.75" customHeight="1" thickBot="1">
      <c r="A405" s="20">
        <v>404</v>
      </c>
      <c r="L405" s="20" t="s">
        <v>14</v>
      </c>
      <c r="M405" s="20" t="str">
        <f t="shared" si="14"/>
        <v>C:\Users\BenSelilih_Info\Pictures\photo\.jpg</v>
      </c>
      <c r="N405" s="20" t="s">
        <v>507</v>
      </c>
    </row>
    <row r="406" spans="1:14" ht="81.75" customHeight="1" thickBot="1">
      <c r="A406" s="20">
        <v>405</v>
      </c>
      <c r="L406" s="20" t="s">
        <v>14</v>
      </c>
      <c r="M406" s="20" t="str">
        <f t="shared" si="14"/>
        <v>C:\Users\BenSelilih_Info\Pictures\photo\.jpg</v>
      </c>
      <c r="N406" s="20" t="s">
        <v>507</v>
      </c>
    </row>
    <row r="407" spans="1:14" ht="81.75" customHeight="1" thickBot="1">
      <c r="A407" s="20">
        <v>406</v>
      </c>
      <c r="L407" s="20" t="s">
        <v>14</v>
      </c>
      <c r="M407" s="20" t="str">
        <f t="shared" si="14"/>
        <v>C:\Users\BenSelilih_Info\Pictures\photo\.jpg</v>
      </c>
      <c r="N407" s="20" t="s">
        <v>507</v>
      </c>
    </row>
    <row r="408" spans="1:14" ht="81.75" customHeight="1" thickBot="1"/>
    <row r="409" spans="1:14" ht="81.75" customHeight="1" thickBot="1"/>
    <row r="410" spans="1:14" ht="81.75" customHeight="1" thickBot="1"/>
    <row r="411" spans="1:14" ht="81.75" customHeight="1" thickBot="1"/>
    <row r="412" spans="1:14" ht="81.75" customHeight="1" thickBot="1"/>
    <row r="413" spans="1:14" ht="81.75" customHeight="1" thickBot="1"/>
    <row r="414" spans="1:14" ht="81.75" customHeight="1" thickBot="1"/>
    <row r="415" spans="1:14" ht="81.75" customHeight="1" thickBot="1"/>
    <row r="416" spans="1:14" ht="81.75" customHeight="1" thickBot="1"/>
    <row r="417" ht="81.75" customHeight="1" thickBot="1"/>
    <row r="418" ht="81.75" customHeight="1" thickBot="1"/>
    <row r="419" ht="81.75" customHeight="1" thickBot="1"/>
    <row r="420" ht="81.75" customHeight="1" thickBot="1"/>
    <row r="421" ht="81.75" customHeight="1" thickBot="1"/>
    <row r="422" ht="81.75" customHeight="1" thickBot="1"/>
    <row r="423" ht="81.75" customHeight="1" thickBot="1"/>
    <row r="424" ht="81.75" customHeight="1" thickBot="1"/>
    <row r="425" ht="81.75" customHeight="1" thickBot="1"/>
    <row r="426" ht="81.75" customHeight="1" thickBot="1"/>
    <row r="427" ht="81.75" customHeight="1" thickBot="1"/>
    <row r="428" ht="81.75" customHeight="1" thickBot="1"/>
    <row r="429" ht="81.75" customHeight="1" thickBot="1"/>
    <row r="430" ht="81.75" customHeight="1" thickBot="1"/>
    <row r="431" ht="81.75" customHeight="1" thickBot="1"/>
    <row r="432" ht="81.75" customHeight="1" thickBot="1"/>
    <row r="433" ht="81.75" customHeight="1" thickBot="1"/>
    <row r="434" ht="81.75" customHeight="1" thickBot="1"/>
    <row r="435" ht="81.75" customHeight="1" thickBot="1"/>
    <row r="436" ht="81.75" customHeight="1" thickBot="1"/>
    <row r="437" ht="81.75" customHeight="1" thickBot="1"/>
    <row r="438" ht="81.75" customHeight="1" thickBot="1"/>
    <row r="439" ht="81.75" customHeight="1" thickBot="1"/>
    <row r="440" ht="81.75" customHeight="1" thickBot="1"/>
    <row r="441" ht="81.75" customHeight="1" thickBot="1"/>
    <row r="442" ht="81.75" customHeight="1" thickBot="1"/>
    <row r="443" ht="81.75" customHeight="1" thickBot="1"/>
    <row r="444" ht="81.75" customHeight="1" thickBot="1"/>
    <row r="445" ht="81.75" customHeight="1" thickBot="1"/>
    <row r="446" ht="81.75" customHeight="1" thickBot="1"/>
    <row r="447" ht="81.75" customHeight="1" thickBot="1"/>
    <row r="448" ht="81.75" customHeight="1" thickBot="1"/>
    <row r="449" ht="81.75" customHeight="1" thickBot="1"/>
    <row r="450" ht="81.75" customHeight="1" thickBot="1"/>
    <row r="451" ht="81.75" customHeight="1" thickBot="1"/>
    <row r="452" ht="81.75" customHeight="1" thickBot="1"/>
    <row r="453" ht="81.75" customHeight="1" thickBot="1"/>
    <row r="454" ht="81.75" customHeight="1" thickBot="1"/>
    <row r="455" ht="81.75" customHeight="1" thickBot="1"/>
    <row r="456" ht="81.75" customHeight="1" thickBot="1"/>
    <row r="457" ht="81.75" customHeight="1" thickBot="1"/>
    <row r="458" ht="81.75" customHeight="1" thickBot="1"/>
    <row r="459" ht="81.75" customHeight="1" thickBot="1"/>
    <row r="460" ht="81.75" customHeight="1" thickBot="1"/>
    <row r="461" ht="81.75" customHeight="1" thickBot="1"/>
    <row r="462" ht="81.75" customHeight="1" thickBot="1"/>
    <row r="463" ht="81.75" customHeight="1" thickBot="1"/>
    <row r="464" ht="81.75" customHeight="1" thickBot="1"/>
    <row r="465" ht="81.75" customHeight="1" thickBot="1"/>
    <row r="466" ht="81.75" customHeight="1" thickBot="1"/>
    <row r="467" ht="81.75" customHeight="1" thickBot="1"/>
    <row r="468" ht="81.75" customHeight="1" thickBot="1"/>
    <row r="469" ht="81.75" customHeight="1" thickBot="1"/>
    <row r="470" ht="81.75" customHeight="1" thickBot="1"/>
    <row r="471" ht="81.75" customHeight="1" thickBot="1"/>
    <row r="472" ht="81.75" customHeight="1" thickBot="1"/>
    <row r="473" ht="81.75" customHeight="1" thickBot="1"/>
    <row r="474" ht="81.75" customHeight="1" thickBot="1"/>
    <row r="475" ht="81.75" customHeight="1" thickBot="1"/>
    <row r="476" ht="81.75" customHeight="1" thickBot="1"/>
    <row r="477" ht="81.75" customHeight="1" thickBot="1"/>
    <row r="478" ht="81.75" customHeight="1" thickBot="1"/>
    <row r="479" ht="81.75" customHeight="1" thickBot="1"/>
    <row r="480" ht="81.75" customHeight="1" thickBot="1"/>
    <row r="481" ht="81.75" customHeight="1" thickBot="1"/>
    <row r="482" ht="81.75" customHeight="1" thickBot="1"/>
    <row r="483" ht="81.75" customHeight="1" thickBot="1"/>
    <row r="484" ht="81.75" customHeight="1" thickBot="1"/>
    <row r="485" ht="81.75" customHeight="1" thickBot="1"/>
    <row r="486" ht="81.75" customHeight="1" thickBot="1"/>
    <row r="487" ht="81.75" customHeight="1" thickBot="1"/>
    <row r="488" ht="81.75" customHeight="1" thickBot="1"/>
    <row r="489" ht="81.75" customHeight="1" thickBot="1"/>
    <row r="490" ht="81.75" customHeight="1" thickBot="1"/>
    <row r="491" ht="81.75" customHeight="1" thickBot="1"/>
    <row r="492" ht="81.75" customHeight="1" thickBot="1"/>
    <row r="493" ht="81.75" customHeight="1" thickBot="1"/>
    <row r="494" ht="81.75" customHeight="1" thickBot="1"/>
    <row r="495" ht="81.75" customHeight="1" thickBot="1"/>
    <row r="496" ht="81.75" customHeight="1" thickBot="1"/>
    <row r="497" ht="81.75" customHeight="1" thickBot="1"/>
    <row r="498" ht="81.75" customHeight="1" thickBot="1"/>
    <row r="499" ht="81.75" customHeight="1" thickBot="1"/>
    <row r="500" ht="81.75" customHeight="1" thickBot="1"/>
    <row r="501" ht="81.75" customHeight="1" thickBot="1"/>
    <row r="502" ht="81.75" customHeight="1" thickBot="1"/>
    <row r="503" ht="81.75" customHeight="1" thickBot="1"/>
    <row r="504" ht="81.75" customHeight="1" thickBot="1"/>
    <row r="505" ht="81.75" customHeight="1" thickBot="1"/>
    <row r="506" ht="81.75" customHeight="1" thickBot="1"/>
    <row r="507" ht="81.75" customHeight="1" thickBot="1"/>
    <row r="508" ht="81.75" customHeight="1" thickBot="1"/>
    <row r="509" ht="81.75" customHeight="1" thickBot="1"/>
    <row r="510" ht="81.75" customHeight="1" thickBot="1"/>
    <row r="511" ht="81.75" customHeight="1" thickBot="1"/>
    <row r="512" ht="81.75" customHeight="1" thickBot="1"/>
    <row r="513" ht="81.75" customHeight="1" thickBot="1"/>
    <row r="514" ht="81.75" customHeight="1" thickBot="1"/>
    <row r="515" ht="81.75" customHeight="1" thickBot="1"/>
    <row r="516" ht="81.75" customHeight="1" thickBot="1"/>
    <row r="517" ht="81.75" customHeight="1" thickBot="1"/>
    <row r="518" ht="81.75" customHeight="1" thickBot="1"/>
    <row r="519" ht="81.75" customHeight="1" thickBot="1"/>
    <row r="520" ht="81.75" customHeight="1" thickBot="1"/>
    <row r="521" ht="81.75" customHeight="1" thickBot="1"/>
    <row r="522" ht="81.75" customHeight="1" thickBot="1"/>
    <row r="523" ht="81.75" customHeight="1" thickBot="1"/>
    <row r="524" ht="81.75" customHeight="1" thickBot="1"/>
    <row r="525" ht="81.75" customHeight="1" thickBot="1"/>
    <row r="526" ht="81.75" customHeight="1" thickBot="1"/>
    <row r="527" ht="81.75" customHeight="1" thickBot="1"/>
    <row r="528" ht="81.75" customHeight="1" thickBot="1"/>
    <row r="529" ht="81.75" customHeight="1" thickBot="1"/>
    <row r="530" ht="81.75" customHeight="1" thickBot="1"/>
    <row r="531" ht="81.75" customHeight="1" thickBot="1"/>
    <row r="532" ht="81.75" customHeight="1" thickBot="1"/>
    <row r="533" ht="81.75" customHeight="1" thickBot="1"/>
    <row r="534" ht="81.75" customHeight="1" thickBot="1"/>
    <row r="535" ht="81.75" customHeight="1" thickBot="1"/>
    <row r="536" ht="81.75" customHeight="1" thickBot="1"/>
    <row r="537" ht="81.75" customHeight="1" thickBot="1"/>
    <row r="538" ht="81.75" customHeight="1" thickBot="1"/>
    <row r="539" ht="81.75" customHeight="1" thickBot="1"/>
    <row r="540" ht="81.75" customHeight="1" thickBot="1"/>
    <row r="541" ht="81.75" customHeight="1" thickBot="1"/>
    <row r="542" ht="81.75" customHeight="1" thickBot="1"/>
    <row r="543" ht="81.75" customHeight="1" thickBot="1"/>
    <row r="544" ht="81.75" customHeight="1" thickBot="1"/>
    <row r="545" ht="81.75" customHeight="1" thickBot="1"/>
    <row r="546" ht="81.75" customHeight="1" thickBot="1"/>
    <row r="547" ht="81.75" customHeight="1" thickBot="1"/>
    <row r="548" ht="81.75" customHeight="1" thickBot="1"/>
    <row r="549" ht="81.75" customHeight="1" thickBot="1"/>
    <row r="550" ht="81.75" customHeight="1" thickBot="1"/>
    <row r="551" ht="81.75" customHeight="1" thickBot="1"/>
    <row r="552" ht="81.75" customHeight="1" thickBot="1"/>
    <row r="553" ht="81.75" customHeight="1" thickBot="1"/>
    <row r="554" ht="81.75" customHeight="1" thickBot="1"/>
    <row r="555" ht="81.75" customHeight="1" thickBot="1"/>
    <row r="556" ht="81.75" customHeight="1" thickBot="1"/>
    <row r="557" ht="81.75" customHeight="1" thickBot="1"/>
    <row r="558" ht="81.75" customHeight="1" thickBot="1"/>
    <row r="559" ht="81.75" customHeight="1" thickBot="1"/>
    <row r="560" ht="81.75" customHeight="1" thickBot="1"/>
    <row r="561" ht="81.75" customHeight="1" thickBot="1"/>
    <row r="562" ht="81.75" customHeight="1" thickBot="1"/>
    <row r="563" ht="81.75" customHeight="1" thickBot="1"/>
    <row r="564" ht="81.75" customHeight="1" thickBot="1"/>
    <row r="565" ht="81.75" customHeight="1" thickBot="1"/>
    <row r="566" ht="81.75" customHeight="1" thickBot="1"/>
    <row r="567" ht="81.75" customHeight="1" thickBot="1"/>
    <row r="568" ht="81.75" customHeight="1" thickBot="1"/>
    <row r="569" ht="81.75" customHeight="1" thickBot="1"/>
    <row r="570" ht="81.75" customHeight="1" thickBot="1"/>
    <row r="571" ht="81.75" customHeight="1" thickBot="1"/>
    <row r="572" ht="81.75" customHeight="1" thickBot="1"/>
    <row r="573" ht="81.75" customHeight="1" thickBot="1"/>
    <row r="574" ht="81.75" customHeight="1" thickBot="1"/>
    <row r="575" ht="81.75" customHeight="1" thickBot="1"/>
    <row r="576" ht="81.75" customHeight="1" thickBot="1"/>
    <row r="577" ht="81.75" customHeight="1" thickBot="1"/>
    <row r="578" ht="81.75" customHeight="1" thickBot="1"/>
    <row r="579" ht="81.75" customHeight="1" thickBot="1"/>
    <row r="580" ht="81.75" customHeight="1" thickBot="1"/>
    <row r="581" ht="81.75" customHeight="1" thickBot="1"/>
    <row r="582" ht="81.75" customHeight="1" thickBot="1"/>
    <row r="583" ht="81.75" customHeight="1" thickBot="1"/>
    <row r="584" ht="81.75" customHeight="1" thickBot="1"/>
    <row r="585" ht="81.75" customHeight="1" thickBot="1"/>
    <row r="586" ht="81.75" customHeight="1" thickBot="1"/>
    <row r="587" ht="81.75" customHeight="1" thickBot="1"/>
    <row r="588" ht="81.75" customHeight="1" thickBot="1"/>
    <row r="589" ht="81.75" customHeight="1" thickBot="1"/>
    <row r="590" ht="81.75" customHeight="1" thickBot="1"/>
    <row r="591" ht="81.75" customHeight="1" thickBot="1"/>
    <row r="592" ht="81.75" customHeight="1" thickBot="1"/>
    <row r="593" ht="81.75" customHeight="1" thickBot="1"/>
    <row r="594" ht="81.75" customHeight="1" thickBot="1"/>
    <row r="595" ht="81.75" customHeight="1" thickBot="1"/>
    <row r="596" ht="81.75" customHeight="1" thickBot="1"/>
    <row r="597" ht="81.75" customHeight="1" thickBot="1"/>
    <row r="598" ht="81.75" customHeight="1" thickBot="1"/>
    <row r="599" ht="81.75" customHeight="1" thickBot="1"/>
    <row r="600" ht="81.75" customHeight="1" thickBot="1"/>
    <row r="601" ht="81.75" customHeight="1" thickBot="1"/>
    <row r="602" ht="81.75" customHeight="1" thickBot="1"/>
    <row r="603" ht="81.75" customHeight="1" thickBot="1"/>
    <row r="604" ht="81.75" customHeight="1" thickBot="1"/>
    <row r="605" ht="81.75" customHeight="1" thickBot="1"/>
    <row r="606" ht="81.75" customHeight="1" thickBot="1"/>
    <row r="607" ht="81.75" customHeight="1" thickBot="1"/>
    <row r="608" ht="81.75" customHeight="1" thickBot="1"/>
    <row r="609" ht="81.75" customHeight="1" thickBot="1"/>
    <row r="610" ht="81.75" customHeight="1" thickBot="1"/>
    <row r="611" ht="81.75" customHeight="1" thickBot="1"/>
    <row r="612" ht="81.75" customHeight="1" thickBot="1"/>
    <row r="613" ht="81.75" customHeight="1" thickBot="1"/>
    <row r="614" ht="81.75" customHeight="1" thickBot="1"/>
    <row r="615" ht="81.75" customHeight="1" thickBot="1"/>
    <row r="616" ht="81.75" customHeight="1" thickBot="1"/>
    <row r="617" ht="81.75" customHeight="1" thickBot="1"/>
    <row r="618" ht="81.75" customHeight="1" thickBot="1"/>
    <row r="619" ht="81.75" customHeight="1" thickBot="1"/>
    <row r="620" ht="81.75" customHeight="1" thickBot="1"/>
    <row r="621" ht="81.75" customHeight="1" thickBot="1"/>
    <row r="622" ht="81.75" customHeight="1" thickBot="1"/>
    <row r="623" ht="81.75" customHeight="1" thickBot="1"/>
    <row r="624" ht="81.75" customHeight="1" thickBot="1"/>
    <row r="625" ht="81.75" customHeight="1" thickBot="1"/>
    <row r="626" ht="81.75" customHeight="1" thickBot="1"/>
    <row r="627" ht="81.75" customHeight="1" thickBot="1"/>
    <row r="628" ht="81.75" customHeight="1" thickBot="1"/>
    <row r="629" ht="81.75" customHeight="1" thickBot="1"/>
    <row r="630" ht="81.75" customHeight="1" thickBot="1"/>
    <row r="631" ht="81.75" customHeight="1" thickBot="1"/>
    <row r="632" ht="81.75" customHeight="1" thickBot="1"/>
    <row r="633" ht="81.75" customHeight="1" thickBot="1"/>
    <row r="634" ht="81.75" customHeight="1" thickBot="1"/>
    <row r="635" ht="81.75" customHeight="1" thickBot="1"/>
    <row r="636" ht="81.75" customHeight="1" thickBot="1"/>
    <row r="637" ht="81.75" customHeight="1" thickBot="1"/>
    <row r="638" ht="81.75" customHeight="1" thickBot="1"/>
    <row r="639" ht="81.75" customHeight="1" thickBot="1"/>
    <row r="640" ht="81.75" customHeight="1" thickBot="1"/>
    <row r="641" ht="81.75" customHeight="1" thickBot="1"/>
    <row r="642" ht="81.75" customHeight="1" thickBot="1"/>
    <row r="643" ht="81.75" customHeight="1" thickBot="1"/>
    <row r="644" ht="81.75" customHeight="1" thickBot="1"/>
    <row r="645" ht="81.75" customHeight="1" thickBot="1"/>
    <row r="646" ht="81.75" customHeight="1" thickBot="1"/>
    <row r="647" ht="81.75" customHeight="1" thickBot="1"/>
    <row r="648" ht="81.75" customHeight="1" thickBot="1"/>
    <row r="649" ht="81.75" customHeight="1" thickBot="1"/>
    <row r="650" ht="81.75" customHeight="1" thickBot="1"/>
    <row r="651" ht="81.75" customHeight="1" thickBot="1"/>
    <row r="652" ht="81.75" customHeight="1" thickBot="1"/>
    <row r="653" ht="81.75" customHeight="1" thickBot="1"/>
    <row r="654" ht="81.75" customHeight="1" thickBot="1"/>
    <row r="655" ht="81.75" customHeight="1" thickBot="1"/>
    <row r="656" ht="81.75" customHeight="1" thickBot="1"/>
    <row r="657" ht="81.75" customHeight="1" thickBot="1"/>
    <row r="658" ht="81.75" customHeight="1" thickBot="1"/>
    <row r="659" ht="81.75" customHeight="1" thickBot="1"/>
    <row r="660" ht="81.75" customHeight="1" thickBot="1"/>
    <row r="661" ht="81.75" customHeight="1" thickBot="1"/>
    <row r="662" ht="81.75" customHeight="1" thickBot="1"/>
    <row r="663" ht="81.75" customHeight="1" thickBot="1"/>
    <row r="664" ht="81.75" customHeight="1" thickBot="1"/>
    <row r="665" ht="81.75" customHeight="1" thickBot="1"/>
    <row r="666" ht="81.75" customHeight="1" thickBot="1"/>
    <row r="667" ht="81.75" customHeight="1" thickBot="1"/>
    <row r="668" ht="81.75" customHeight="1" thickBot="1"/>
    <row r="669" ht="81.75" customHeight="1" thickBot="1"/>
    <row r="670" ht="81.75" customHeight="1" thickBot="1"/>
    <row r="671" ht="81.75" customHeight="1" thickBot="1"/>
    <row r="672" ht="81.75" customHeight="1" thickBot="1"/>
    <row r="673" ht="81.75" customHeight="1" thickBot="1"/>
    <row r="674" ht="81.75" customHeight="1" thickBot="1"/>
    <row r="675" ht="81.75" customHeight="1" thickBot="1"/>
    <row r="676" ht="81.75" customHeight="1" thickBot="1"/>
    <row r="677" ht="81.75" customHeight="1" thickBot="1"/>
    <row r="678" ht="81.75" customHeight="1" thickBot="1"/>
    <row r="679" ht="81.75" customHeight="1" thickBot="1"/>
    <row r="680" ht="81.75" customHeight="1" thickBot="1"/>
    <row r="681" ht="81.75" customHeight="1" thickBot="1"/>
    <row r="682" ht="81.75" customHeight="1" thickBot="1"/>
    <row r="683" ht="81.75" customHeight="1" thickBot="1"/>
    <row r="684" ht="81.75" customHeight="1" thickBot="1"/>
    <row r="685" ht="81.75" customHeight="1" thickBot="1"/>
    <row r="686" ht="81.75" customHeight="1" thickBot="1"/>
    <row r="687" ht="81.75" customHeight="1" thickBot="1"/>
    <row r="688" ht="81.75" customHeight="1" thickBot="1"/>
    <row r="689" ht="81.75" customHeight="1" thickBot="1"/>
    <row r="690" ht="81.75" customHeight="1" thickBot="1"/>
    <row r="691" ht="81.75" customHeight="1" thickBot="1"/>
    <row r="692" ht="81.75" customHeight="1" thickBot="1"/>
    <row r="693" ht="81.75" customHeight="1" thickBot="1"/>
    <row r="694" ht="81.75" customHeight="1" thickBot="1"/>
    <row r="695" ht="81.75" customHeight="1" thickBot="1"/>
    <row r="696" ht="81.75" customHeight="1" thickBot="1"/>
    <row r="697" ht="81.75" customHeight="1" thickBot="1"/>
    <row r="698" ht="81.75" customHeight="1" thickBot="1"/>
    <row r="699" ht="81.75" customHeight="1" thickBot="1"/>
    <row r="700" ht="81.75" customHeight="1" thickBot="1"/>
    <row r="701" ht="81.75" customHeight="1" thickBot="1"/>
    <row r="702" ht="81.75" customHeight="1" thickBot="1"/>
    <row r="703" ht="81.75" customHeight="1" thickBot="1"/>
    <row r="704" ht="81.75" customHeight="1" thickBot="1"/>
    <row r="705" ht="81.75" customHeight="1" thickBot="1"/>
    <row r="706" ht="81.75" customHeight="1" thickBot="1"/>
    <row r="707" ht="81.75" customHeight="1" thickBot="1"/>
    <row r="708" ht="81.75" customHeight="1" thickBot="1"/>
    <row r="709" ht="81.75" customHeight="1" thickBot="1"/>
    <row r="710" ht="81.75" customHeight="1" thickBot="1"/>
    <row r="711" ht="81.75" customHeight="1" thickBot="1"/>
    <row r="712" ht="81.75" customHeight="1" thickBot="1"/>
    <row r="713" ht="81.75" customHeight="1" thickBot="1"/>
    <row r="714" ht="81.75" customHeight="1" thickBot="1"/>
    <row r="715" ht="81.75" customHeight="1" thickBot="1"/>
    <row r="716" ht="81.75" customHeight="1" thickBot="1"/>
    <row r="717" ht="81.75" customHeight="1" thickBot="1"/>
    <row r="718" ht="81.75" customHeight="1" thickBot="1"/>
    <row r="719" ht="81.75" customHeight="1" thickBot="1"/>
    <row r="720" ht="81.75" customHeight="1" thickBot="1"/>
    <row r="721" ht="81.75" customHeight="1" thickBot="1"/>
    <row r="722" ht="81.75" customHeight="1" thickBot="1"/>
    <row r="723" ht="81.75" customHeight="1" thickBot="1"/>
    <row r="724" ht="81.75" customHeight="1" thickBot="1"/>
    <row r="725" ht="81.75" customHeight="1" thickBot="1"/>
    <row r="726" ht="81.75" customHeight="1" thickBot="1"/>
    <row r="727" ht="81.75" customHeight="1" thickBot="1"/>
    <row r="728" ht="81.75" customHeight="1" thickBot="1"/>
    <row r="729" ht="81.75" customHeight="1" thickBot="1"/>
    <row r="730" ht="81.75" customHeight="1" thickBot="1"/>
    <row r="731" ht="81.75" customHeight="1" thickBot="1"/>
    <row r="732" ht="81.75" customHeight="1" thickBot="1"/>
    <row r="733" ht="81.75" customHeight="1" thickBot="1"/>
    <row r="734" ht="81.75" customHeight="1" thickBot="1"/>
    <row r="735" ht="81.75" customHeight="1" thickBot="1"/>
    <row r="736" ht="81.75" customHeight="1" thickBot="1"/>
    <row r="737" ht="81.75" customHeight="1" thickBot="1"/>
    <row r="738" ht="81.75" customHeight="1" thickBot="1"/>
    <row r="739" ht="81.75" customHeight="1" thickBot="1"/>
    <row r="740" ht="81.75" customHeight="1" thickBot="1"/>
    <row r="741" ht="81.75" customHeight="1" thickBot="1"/>
    <row r="742" ht="81.75" customHeight="1" thickBot="1"/>
    <row r="743" ht="81.75" customHeight="1" thickBot="1"/>
    <row r="744" ht="81.75" customHeight="1" thickBot="1"/>
    <row r="745" ht="81.75" customHeight="1" thickBot="1"/>
    <row r="746" ht="81.75" customHeight="1" thickBot="1"/>
    <row r="747" ht="81.75" customHeight="1" thickBot="1"/>
    <row r="748" ht="81.75" customHeight="1" thickBot="1"/>
    <row r="749" ht="81.75" customHeight="1" thickBot="1"/>
    <row r="750" ht="81.75" customHeight="1" thickBot="1"/>
    <row r="751" ht="81.75" customHeight="1" thickBot="1"/>
    <row r="752" ht="81.75" customHeight="1" thickBot="1"/>
    <row r="753" ht="81.75" customHeight="1" thickBot="1"/>
    <row r="754" ht="81.75" customHeight="1" thickBot="1"/>
    <row r="755" ht="81.75" customHeight="1" thickBot="1"/>
    <row r="756" ht="81.75" customHeight="1" thickBot="1"/>
    <row r="757" ht="81.75" customHeight="1" thickBot="1"/>
    <row r="758" ht="81.75" customHeight="1" thickBot="1"/>
    <row r="759" ht="81.75" customHeight="1" thickBot="1"/>
    <row r="760" ht="81.75" customHeight="1" thickBot="1"/>
    <row r="761" ht="81.75" customHeight="1" thickBot="1"/>
    <row r="762" ht="81.75" customHeight="1" thickBot="1"/>
    <row r="763" ht="81.75" customHeight="1" thickBot="1"/>
    <row r="764" ht="81.75" customHeight="1" thickBot="1"/>
    <row r="765" ht="81.75" customHeight="1" thickBot="1"/>
    <row r="766" ht="81.75" customHeight="1" thickBot="1"/>
    <row r="767" ht="81.75" customHeight="1" thickBot="1"/>
    <row r="768" ht="81.75" customHeight="1" thickBot="1"/>
    <row r="769" ht="81.75" customHeight="1" thickBot="1"/>
    <row r="770" ht="81.75" customHeight="1" thickBot="1"/>
    <row r="771" ht="81.75" customHeight="1" thickBot="1"/>
    <row r="772" ht="81.75" customHeight="1" thickBot="1"/>
    <row r="773" ht="81.75" customHeight="1" thickBot="1"/>
    <row r="774" ht="81.75" customHeight="1" thickBot="1"/>
    <row r="775" ht="81.75" customHeight="1" thickBot="1"/>
    <row r="776" ht="81.75" customHeight="1" thickBot="1"/>
    <row r="777" ht="81.75" customHeight="1" thickBot="1"/>
    <row r="778" ht="81.75" customHeight="1" thickBot="1"/>
    <row r="779" ht="81.75" customHeight="1" thickBot="1"/>
    <row r="780" ht="81.75" customHeight="1" thickBot="1"/>
    <row r="781" ht="81.75" customHeight="1" thickBot="1"/>
    <row r="782" ht="81.75" customHeight="1" thickBot="1"/>
    <row r="783" ht="81.75" customHeight="1" thickBot="1"/>
    <row r="784" ht="81.75" customHeight="1" thickBot="1"/>
    <row r="785" ht="81.75" customHeight="1" thickBot="1"/>
    <row r="786" ht="81.75" customHeight="1" thickBot="1"/>
    <row r="787" ht="81.75" customHeight="1" thickBot="1"/>
    <row r="788" ht="81.75" customHeight="1" thickBot="1"/>
    <row r="789" ht="81.75" customHeight="1" thickBot="1"/>
    <row r="790" ht="81.75" customHeight="1" thickBot="1"/>
    <row r="791" ht="81.75" customHeight="1" thickBot="1"/>
    <row r="792" ht="81.75" customHeight="1" thickBot="1"/>
    <row r="793" ht="81.75" customHeight="1" thickBot="1"/>
    <row r="794" ht="81.75" customHeight="1" thickBot="1"/>
    <row r="795" ht="81.75" customHeight="1" thickBot="1"/>
    <row r="796" ht="81.75" customHeight="1" thickBot="1"/>
    <row r="797" ht="81.75" customHeight="1" thickBot="1"/>
    <row r="798" ht="81.75" customHeight="1" thickBot="1"/>
    <row r="799" ht="81.75" customHeight="1" thickBot="1"/>
    <row r="800" ht="81.75" customHeight="1" thickBot="1"/>
    <row r="801" ht="81.75" customHeight="1" thickBot="1"/>
    <row r="802" ht="81.75" customHeight="1" thickBot="1"/>
    <row r="803" ht="81.75" customHeight="1" thickBot="1"/>
    <row r="804" ht="81.75" customHeight="1" thickBot="1"/>
    <row r="805" ht="81.75" customHeight="1" thickBot="1"/>
    <row r="806" ht="81.75" customHeight="1" thickBot="1"/>
    <row r="807" ht="81.75" customHeight="1" thickBot="1"/>
    <row r="808" ht="81.75" customHeight="1" thickBot="1"/>
    <row r="809" ht="81.75" customHeight="1" thickBot="1"/>
    <row r="810" ht="81.75" customHeight="1" thickBot="1"/>
    <row r="811" ht="81.75" customHeight="1" thickBot="1"/>
    <row r="812" ht="81.75" customHeight="1" thickBot="1"/>
    <row r="813" ht="81.75" customHeight="1" thickBot="1"/>
    <row r="814" ht="81.75" customHeight="1" thickBot="1"/>
    <row r="815" ht="81.75" customHeight="1" thickBot="1"/>
    <row r="816" ht="81.75" customHeight="1" thickBot="1"/>
    <row r="817" ht="81.75" customHeight="1" thickBot="1"/>
    <row r="818" ht="81.75" customHeight="1" thickBot="1"/>
    <row r="819" ht="81.75" customHeight="1" thickBot="1"/>
    <row r="820" ht="81.75" customHeight="1" thickBot="1"/>
    <row r="821" ht="81.75" customHeight="1" thickBot="1"/>
    <row r="822" ht="81.75" customHeight="1" thickBot="1"/>
    <row r="823" ht="81.75" customHeight="1" thickBot="1"/>
    <row r="824" ht="81.75" customHeight="1" thickBot="1"/>
    <row r="825" ht="81.75" customHeight="1" thickBot="1"/>
    <row r="826" ht="81.75" customHeight="1" thickBot="1"/>
    <row r="827" ht="81.75" customHeight="1" thickBot="1"/>
    <row r="828" ht="81.75" customHeight="1" thickBot="1"/>
    <row r="829" ht="81.75" customHeight="1" thickBot="1"/>
    <row r="830" ht="81.75" customHeight="1" thickBot="1"/>
    <row r="831" ht="81.75" customHeight="1" thickBot="1"/>
    <row r="832" ht="81.75" customHeight="1" thickBot="1"/>
    <row r="833" ht="81.75" customHeight="1" thickBot="1"/>
    <row r="834" ht="81.75" customHeight="1" thickBot="1"/>
    <row r="835" ht="81.75" customHeight="1" thickBot="1"/>
    <row r="836" ht="81.75" customHeight="1" thickBot="1"/>
    <row r="837" ht="81.75" customHeight="1" thickBot="1"/>
    <row r="838" ht="81.75" customHeight="1" thickBot="1"/>
    <row r="839" ht="81.75" customHeight="1" thickBot="1"/>
    <row r="840" ht="81.75" customHeight="1" thickBot="1"/>
    <row r="841" ht="81.75" customHeight="1" thickBot="1"/>
    <row r="842" ht="81.75" customHeight="1" thickBot="1"/>
    <row r="843" ht="81.75" customHeight="1" thickBot="1"/>
    <row r="844" ht="81.75" customHeight="1" thickBot="1"/>
    <row r="845" ht="81.75" customHeight="1" thickBot="1"/>
    <row r="846" ht="81.75" customHeight="1" thickBot="1"/>
    <row r="847" ht="81.75" customHeight="1" thickBot="1"/>
    <row r="848" ht="81.75" customHeight="1" thickBot="1"/>
    <row r="849" ht="81.75" customHeight="1" thickBot="1"/>
    <row r="850" ht="81.75" customHeight="1" thickBot="1"/>
    <row r="851" ht="81.75" customHeight="1" thickBot="1"/>
    <row r="852" ht="81.75" customHeight="1" thickBot="1"/>
    <row r="853" ht="81.75" customHeight="1" thickBot="1"/>
    <row r="854" ht="81.75" customHeight="1" thickBot="1"/>
    <row r="855" ht="81.75" customHeight="1" thickBot="1"/>
    <row r="856" ht="81.75" customHeight="1" thickBot="1"/>
    <row r="857" ht="81.75" customHeight="1" thickBot="1"/>
    <row r="858" ht="81.75" customHeight="1" thickBot="1"/>
    <row r="859" ht="81.75" customHeight="1" thickBot="1"/>
    <row r="860" ht="81.75" customHeight="1" thickBot="1"/>
    <row r="861" ht="81.75" customHeight="1" thickBot="1"/>
    <row r="862" ht="81.75" customHeight="1" thickBot="1"/>
    <row r="863" ht="81.75" customHeight="1" thickBot="1"/>
    <row r="864" ht="81.75" customHeight="1" thickBot="1"/>
    <row r="865" ht="81.75" customHeight="1" thickBot="1"/>
    <row r="866" ht="81.75" customHeight="1" thickBot="1"/>
    <row r="867" ht="81.75" customHeight="1" thickBot="1"/>
    <row r="868" ht="81.75" customHeight="1" thickBot="1"/>
    <row r="869" ht="81.75" customHeight="1" thickBot="1"/>
    <row r="870" ht="81.75" customHeight="1" thickBot="1"/>
    <row r="871" ht="81.75" customHeight="1" thickBot="1"/>
    <row r="872" ht="81.75" customHeight="1" thickBot="1"/>
    <row r="873" ht="81.75" customHeight="1" thickBot="1"/>
    <row r="874" ht="81.75" customHeight="1" thickBot="1"/>
    <row r="875" ht="81.75" customHeight="1" thickBot="1"/>
    <row r="876" ht="81.75" customHeight="1" thickBot="1"/>
    <row r="877" ht="81.75" customHeight="1" thickBot="1"/>
    <row r="878" ht="81.75" customHeight="1" thickBot="1"/>
    <row r="879" ht="81.75" customHeight="1" thickBot="1"/>
    <row r="880" ht="81.75" customHeight="1" thickBot="1"/>
    <row r="881" ht="81.75" customHeight="1" thickBot="1"/>
    <row r="882" ht="81.75" customHeight="1" thickBot="1"/>
    <row r="883" ht="81.75" customHeight="1" thickBot="1"/>
    <row r="884" ht="81.75" customHeight="1" thickBot="1"/>
    <row r="885" ht="81.75" customHeight="1" thickBot="1"/>
    <row r="886" ht="81.75" customHeight="1" thickBot="1"/>
    <row r="887" ht="81.75" customHeight="1" thickBot="1"/>
    <row r="888" ht="81.75" customHeight="1" thickBot="1"/>
    <row r="889" ht="81.75" customHeight="1" thickBot="1"/>
    <row r="890" ht="81.75" customHeight="1" thickBot="1"/>
    <row r="891" ht="81.75" customHeight="1" thickBot="1"/>
    <row r="892" ht="81.75" customHeight="1" thickBot="1"/>
    <row r="893" ht="81.75" customHeight="1" thickBot="1"/>
    <row r="894" ht="81.75" customHeight="1" thickBot="1"/>
    <row r="895" ht="81.75" customHeight="1" thickBot="1"/>
    <row r="896" ht="81.75" customHeight="1" thickBot="1"/>
    <row r="897" ht="81.75" customHeight="1" thickBot="1"/>
    <row r="898" ht="81.75" customHeight="1" thickBot="1"/>
    <row r="899" ht="81.75" customHeight="1" thickBot="1"/>
    <row r="900" ht="81.75" customHeight="1" thickBot="1"/>
    <row r="901" ht="81.75" customHeight="1" thickBot="1"/>
    <row r="902" ht="81.75" customHeight="1" thickBot="1"/>
    <row r="903" ht="81.75" customHeight="1" thickBot="1"/>
    <row r="904" ht="81.75" customHeight="1" thickBot="1"/>
    <row r="905" ht="81.75" customHeight="1" thickBot="1"/>
    <row r="906" ht="81.75" customHeight="1" thickBot="1"/>
    <row r="907" ht="81.75" customHeight="1" thickBot="1"/>
    <row r="908" ht="81.75" customHeight="1" thickBot="1"/>
    <row r="909" ht="81.75" customHeight="1" thickBot="1"/>
    <row r="910" ht="81.75" customHeight="1" thickBot="1"/>
    <row r="911" ht="81.75" customHeight="1" thickBot="1"/>
    <row r="912" ht="81.75" customHeight="1" thickBot="1"/>
    <row r="913" ht="81.75" customHeight="1" thickBot="1"/>
    <row r="914" ht="81.75" customHeight="1" thickBot="1"/>
    <row r="915" ht="81.75" customHeight="1" thickBot="1"/>
    <row r="916" ht="81.75" customHeight="1" thickBot="1"/>
    <row r="917" ht="81.75" customHeight="1" thickBot="1"/>
    <row r="918" ht="81.75" customHeight="1" thickBot="1"/>
    <row r="919" ht="81.75" customHeight="1" thickBot="1"/>
    <row r="920" ht="81.75" customHeight="1" thickBot="1"/>
    <row r="921" ht="81.75" customHeight="1" thickBot="1"/>
    <row r="922" ht="81.75" customHeight="1" thickBot="1"/>
    <row r="923" ht="81.75" customHeight="1" thickBot="1"/>
    <row r="924" ht="81.75" customHeight="1" thickBot="1"/>
    <row r="925" ht="81.75" customHeight="1" thickBot="1"/>
    <row r="926" ht="81.75" customHeight="1" thickBot="1"/>
    <row r="927" ht="81.75" customHeight="1" thickBot="1"/>
    <row r="928" ht="81.75" customHeight="1" thickBot="1"/>
    <row r="929" ht="81.75" customHeight="1" thickBot="1"/>
    <row r="930" ht="81.75" customHeight="1" thickBot="1"/>
    <row r="931" ht="81.75" customHeight="1" thickBot="1"/>
    <row r="932" ht="81.75" customHeight="1" thickBot="1"/>
    <row r="933" ht="81.75" customHeight="1" thickBot="1"/>
    <row r="934" ht="81.75" customHeight="1" thickBot="1"/>
    <row r="935" ht="81.75" customHeight="1" thickBot="1"/>
    <row r="936" ht="81.75" customHeight="1" thickBot="1"/>
    <row r="937" ht="81.75" customHeight="1" thickBot="1"/>
    <row r="938" ht="81.75" customHeight="1" thickBot="1"/>
    <row r="939" ht="81.75" customHeight="1" thickBot="1"/>
    <row r="940" ht="81.75" customHeight="1" thickBot="1"/>
    <row r="941" ht="81.75" customHeight="1" thickBot="1"/>
    <row r="942" ht="81.75" customHeight="1" thickBot="1"/>
    <row r="943" ht="81.75" customHeight="1" thickBot="1"/>
    <row r="944" ht="81.75" customHeight="1" thickBot="1"/>
    <row r="945" ht="81.75" customHeight="1" thickBot="1"/>
    <row r="946" ht="81.75" customHeight="1" thickBot="1"/>
    <row r="947" ht="81.75" customHeight="1" thickBot="1"/>
    <row r="948" ht="81.75" customHeight="1" thickBot="1"/>
    <row r="949" ht="81.75" customHeight="1" thickBot="1"/>
    <row r="950" ht="81.75" customHeight="1" thickBot="1"/>
    <row r="951" ht="81.75" customHeight="1" thickBot="1"/>
    <row r="952" ht="81.75" customHeight="1" thickBot="1"/>
    <row r="953" ht="81.75" customHeight="1" thickBot="1"/>
    <row r="954" ht="81.75" customHeight="1" thickBot="1"/>
    <row r="955" ht="81.75" customHeight="1" thickBot="1"/>
    <row r="956" ht="81.75" customHeight="1" thickBot="1"/>
    <row r="957" ht="81.75" customHeight="1" thickBot="1"/>
    <row r="958" ht="81.75" customHeight="1" thickBot="1"/>
    <row r="959" ht="81.75" customHeight="1" thickBot="1"/>
    <row r="960" ht="81.75" customHeight="1" thickBot="1"/>
    <row r="961" ht="81.75" customHeight="1" thickBot="1"/>
    <row r="962" ht="81.75" customHeight="1" thickBot="1"/>
    <row r="963" ht="81.75" customHeight="1" thickBot="1"/>
    <row r="964" ht="81.75" customHeight="1" thickBot="1"/>
    <row r="965" ht="81.75" customHeight="1" thickBot="1"/>
    <row r="966" ht="81.75" customHeight="1" thickBot="1"/>
    <row r="967" ht="81.75" customHeight="1" thickBot="1"/>
    <row r="968" ht="81.75" customHeight="1" thickBot="1"/>
    <row r="969" ht="81.75" customHeight="1" thickBot="1"/>
    <row r="970" ht="81.75" customHeight="1" thickBot="1"/>
    <row r="971" ht="81.75" customHeight="1" thickBot="1"/>
    <row r="972" ht="81.75" customHeight="1" thickBot="1"/>
    <row r="973" ht="81.75" customHeight="1" thickBot="1"/>
    <row r="974" ht="81.75" customHeight="1" thickBot="1"/>
    <row r="975" ht="81.75" customHeight="1" thickBot="1"/>
    <row r="976" ht="81.75" customHeight="1" thickBot="1"/>
    <row r="977" ht="81.75" customHeight="1" thickBot="1"/>
    <row r="978" ht="81.75" customHeight="1" thickBot="1"/>
    <row r="979" ht="81.75" customHeight="1" thickBot="1"/>
    <row r="980" ht="81.75" customHeight="1" thickBot="1"/>
    <row r="981" ht="81.75" customHeight="1" thickBot="1"/>
    <row r="982" ht="81.75" customHeight="1" thickBot="1"/>
    <row r="983" ht="81.75" customHeight="1" thickBot="1"/>
    <row r="984" ht="81.75" customHeight="1" thickBot="1"/>
    <row r="985" ht="81.75" customHeight="1" thickBot="1"/>
    <row r="986" ht="81.75" customHeight="1" thickBot="1"/>
    <row r="987" ht="81.75" customHeight="1" thickBot="1"/>
    <row r="988" ht="81.75" customHeight="1" thickBot="1"/>
    <row r="989" ht="81.75" customHeight="1" thickBot="1"/>
    <row r="990" ht="81.75" customHeight="1" thickBot="1"/>
    <row r="991" ht="81.75" customHeight="1" thickBot="1"/>
    <row r="992" ht="81.75" customHeight="1" thickBot="1"/>
    <row r="993" ht="81.75" customHeight="1" thickBot="1"/>
    <row r="994" ht="81.75" customHeight="1" thickBot="1"/>
    <row r="995" ht="81.75" customHeight="1" thickBot="1"/>
    <row r="996" ht="81.75" customHeight="1" thickBot="1"/>
    <row r="997" ht="81.75" customHeight="1" thickBot="1"/>
    <row r="998" ht="81.75" customHeight="1" thickBot="1"/>
    <row r="999" ht="81.75" customHeight="1" thickBot="1"/>
    <row r="1000" ht="81.75" customHeight="1" thickBot="1"/>
    <row r="1001" ht="81.75" customHeight="1" thickBot="1"/>
    <row r="1002" ht="81.75" customHeight="1" thickBot="1"/>
    <row r="1003" ht="81.75" customHeight="1" thickBot="1"/>
    <row r="1004" ht="81.75" customHeight="1" thickBot="1"/>
    <row r="1005" ht="81.75" customHeight="1" thickBot="1"/>
    <row r="1006" ht="81.75" customHeight="1" thickBot="1"/>
    <row r="1007" ht="81.75" customHeight="1" thickBot="1"/>
    <row r="1008" ht="81.75" customHeight="1" thickBot="1"/>
    <row r="1009" ht="81.75" customHeight="1" thickBot="1"/>
    <row r="1010" ht="81.75" customHeight="1" thickBot="1"/>
    <row r="1011" ht="81.75" customHeight="1" thickBot="1"/>
    <row r="1012" ht="81.75" customHeight="1" thickBot="1"/>
    <row r="1013" ht="81.75" customHeight="1" thickBot="1"/>
    <row r="1014" ht="81.75" customHeight="1" thickBot="1"/>
    <row r="1015" ht="81.75" customHeight="1" thickBot="1"/>
    <row r="1016" ht="81.75" customHeight="1" thickBot="1"/>
    <row r="1017" ht="81.75" customHeight="1" thickBot="1"/>
    <row r="1018" ht="81.75" customHeight="1" thickBot="1"/>
    <row r="1019" ht="81.75" customHeight="1" thickBot="1"/>
    <row r="1020" ht="81.75" customHeight="1" thickBot="1"/>
    <row r="1021" ht="81.75" customHeight="1" thickBot="1"/>
    <row r="1022" ht="81.75" customHeight="1" thickBot="1"/>
    <row r="1023" ht="81.75" customHeight="1" thickBot="1"/>
    <row r="1024" ht="81.75" customHeight="1" thickBot="1"/>
    <row r="1025" ht="81.75" customHeight="1" thickBot="1"/>
    <row r="1026" ht="81.75" customHeight="1" thickBot="1"/>
    <row r="1027" ht="81.75" customHeight="1" thickBot="1"/>
    <row r="1028" ht="81.75" customHeight="1" thickBot="1"/>
    <row r="1029" ht="81.75" customHeight="1" thickBot="1"/>
    <row r="1030" ht="81.75" customHeight="1" thickBot="1"/>
    <row r="1031" ht="81.75" customHeight="1" thickBot="1"/>
    <row r="1032" ht="81.75" customHeight="1" thickBot="1"/>
    <row r="1033" ht="81.75" customHeight="1" thickBot="1"/>
    <row r="1034" ht="81.75" customHeight="1" thickBot="1"/>
    <row r="1035" ht="81.75" customHeight="1" thickBot="1"/>
    <row r="1036" ht="81.75" customHeight="1" thickBot="1"/>
    <row r="1037" ht="81.75" customHeight="1" thickBot="1"/>
    <row r="1038" ht="81.75" customHeight="1" thickBot="1"/>
    <row r="1039" ht="81.75" customHeight="1" thickBot="1"/>
    <row r="1040" ht="81.75" customHeight="1" thickBot="1"/>
    <row r="1041" ht="81.75" customHeight="1" thickBot="1"/>
    <row r="1042" ht="81.75" customHeight="1" thickBot="1"/>
    <row r="1043" ht="81.75" customHeight="1" thickBot="1"/>
    <row r="1044" ht="81.75" customHeight="1" thickBot="1"/>
    <row r="1045" ht="81.75" customHeight="1" thickBot="1"/>
    <row r="1046" ht="81.75" customHeight="1" thickBot="1"/>
    <row r="1047" ht="81.75" customHeight="1" thickBot="1"/>
    <row r="1048" ht="81.75" customHeight="1" thickBot="1"/>
    <row r="1049" ht="81.75" customHeight="1" thickBot="1"/>
    <row r="1050" ht="81.75" customHeight="1" thickBot="1"/>
    <row r="1051" ht="81.75" customHeight="1" thickBot="1"/>
    <row r="1052" ht="81.75" customHeight="1" thickBot="1"/>
    <row r="1053" ht="81.75" customHeight="1" thickBot="1"/>
    <row r="1054" ht="81.75" customHeight="1" thickBot="1"/>
    <row r="1055" ht="81.75" customHeight="1" thickBot="1"/>
    <row r="1056" ht="81.75" customHeight="1" thickBot="1"/>
    <row r="1057" ht="81.75" customHeight="1" thickBot="1"/>
    <row r="1058" ht="81.75" customHeight="1" thickBot="1"/>
    <row r="1059" ht="81.75" customHeight="1" thickBot="1"/>
    <row r="1060" ht="81.75" customHeight="1" thickBot="1"/>
    <row r="1061" ht="81.75" customHeight="1" thickBot="1"/>
    <row r="1062" ht="81.75" customHeight="1" thickBot="1"/>
    <row r="1063" ht="81.75" customHeight="1" thickBot="1"/>
    <row r="1064" ht="81.75" customHeight="1" thickBot="1"/>
    <row r="1065" ht="81.75" customHeight="1" thickBot="1"/>
    <row r="1066" ht="81.75" customHeight="1" thickBot="1"/>
    <row r="1067" ht="81.75" customHeight="1" thickBot="1"/>
    <row r="1068" ht="81.75" customHeight="1" thickBot="1"/>
    <row r="1069" ht="81.75" customHeight="1" thickBot="1"/>
    <row r="1070" ht="81.75" customHeight="1" thickBot="1"/>
    <row r="1071" ht="81.75" customHeight="1" thickBot="1"/>
    <row r="1072" ht="81.75" customHeight="1" thickBot="1"/>
    <row r="1073" ht="81.75" customHeight="1" thickBot="1"/>
    <row r="1074" ht="81.75" customHeight="1" thickBot="1"/>
    <row r="1075" ht="81.75" customHeight="1" thickBot="1"/>
    <row r="1076" ht="81.75" customHeight="1" thickBot="1"/>
    <row r="1077" ht="81.75" customHeight="1" thickBot="1"/>
    <row r="1078" ht="81.75" customHeight="1" thickBot="1"/>
    <row r="1079" ht="81.75" customHeight="1" thickBot="1"/>
    <row r="1080" ht="81.75" customHeight="1" thickBot="1"/>
    <row r="1081" ht="81.75" customHeight="1" thickBot="1"/>
    <row r="1082" ht="81.75" customHeight="1" thickBot="1"/>
    <row r="1083" ht="81.75" customHeight="1" thickBot="1"/>
    <row r="1084" ht="81.75" customHeight="1" thickBot="1"/>
    <row r="1085" ht="81.75" customHeight="1" thickBot="1"/>
    <row r="1086" ht="81.75" customHeight="1" thickBot="1"/>
    <row r="1087" ht="81.75" customHeight="1" thickBot="1"/>
    <row r="1088" ht="81.75" customHeight="1" thickBot="1"/>
    <row r="1089" ht="81.75" customHeight="1" thickBot="1"/>
    <row r="1090" ht="81.75" customHeight="1" thickBot="1"/>
    <row r="1091" ht="81.75" customHeight="1" thickBot="1"/>
    <row r="1092" ht="81.75" customHeight="1" thickBot="1"/>
    <row r="1093" ht="81.75" customHeight="1" thickBot="1"/>
    <row r="1094" ht="81.75" customHeight="1" thickBot="1"/>
    <row r="1095" ht="81.75" customHeight="1" thickBot="1"/>
    <row r="1096" ht="81.75" customHeight="1" thickBot="1"/>
    <row r="1097" ht="81.75" customHeight="1" thickBot="1"/>
    <row r="1098" ht="81.75" customHeight="1" thickBot="1"/>
    <row r="1099" ht="81.75" customHeight="1" thickBot="1"/>
    <row r="1100" ht="81.75" customHeight="1" thickBot="1"/>
    <row r="1101" ht="81.75" customHeight="1" thickBot="1"/>
    <row r="1102" ht="81.75" customHeight="1" thickBot="1"/>
    <row r="1103" ht="81.75" customHeight="1" thickBot="1"/>
    <row r="1104" ht="81.75" customHeight="1" thickBot="1"/>
    <row r="1105" ht="81.75" customHeight="1" thickBot="1"/>
    <row r="1106" ht="81.75" customHeight="1" thickBot="1"/>
    <row r="1107" ht="81.75" customHeight="1" thickBot="1"/>
    <row r="1108" ht="81.75" customHeight="1" thickBot="1"/>
    <row r="1109" ht="81.75" customHeight="1" thickBot="1"/>
    <row r="1110" ht="81.75" customHeight="1" thickBot="1"/>
    <row r="1111" ht="81.75" customHeight="1" thickBot="1"/>
    <row r="1112" ht="81.75" customHeight="1" thickBot="1"/>
    <row r="1113" ht="81.75" customHeight="1" thickBot="1"/>
    <row r="1114" ht="81.75" customHeight="1" thickBot="1"/>
    <row r="1115" ht="81.75" customHeight="1" thickBot="1"/>
    <row r="1116" ht="81.75" customHeight="1" thickBot="1"/>
    <row r="1117" ht="81.75" customHeight="1" thickBot="1"/>
    <row r="1118" ht="81.75" customHeight="1" thickBot="1"/>
    <row r="1119" ht="81.75" customHeight="1" thickBot="1"/>
    <row r="1120" ht="81.75" customHeight="1" thickBot="1"/>
    <row r="1121" ht="81.75" customHeight="1" thickBot="1"/>
    <row r="1122" ht="81.75" customHeight="1" thickBot="1"/>
    <row r="1123" ht="81.75" customHeight="1" thickBot="1"/>
    <row r="1124" ht="81.75" customHeight="1" thickBot="1"/>
    <row r="1125" ht="81.75" customHeight="1" thickBot="1"/>
    <row r="1126" ht="81.75" customHeight="1" thickBot="1"/>
    <row r="1127" ht="81.75" customHeight="1" thickBot="1"/>
    <row r="1128" ht="81.75" customHeight="1" thickBot="1"/>
    <row r="1129" ht="81.75" customHeight="1" thickBot="1"/>
    <row r="1130" ht="81.75" customHeight="1" thickBot="1"/>
    <row r="1131" ht="81.75" customHeight="1" thickBot="1"/>
    <row r="1132" ht="81.75" customHeight="1" thickBot="1"/>
    <row r="1133" ht="81.75" customHeight="1" thickBot="1"/>
    <row r="1134" ht="81.75" customHeight="1" thickBot="1"/>
    <row r="1135" ht="81.75" customHeight="1" thickBot="1"/>
    <row r="1136" ht="81.75" customHeight="1" thickBot="1"/>
    <row r="1137" ht="81.75" customHeight="1" thickBot="1"/>
    <row r="1138" ht="81.75" customHeight="1" thickBot="1"/>
    <row r="1139" ht="81.75" customHeight="1" thickBot="1"/>
    <row r="1140" ht="81.75" customHeight="1" thickBot="1"/>
    <row r="1141" ht="81.75" customHeight="1" thickBot="1"/>
    <row r="1142" ht="81.75" customHeight="1" thickBot="1"/>
    <row r="1143" ht="81.75" customHeight="1" thickBot="1"/>
    <row r="1144" ht="81.75" customHeight="1" thickBot="1"/>
    <row r="1145" ht="81.75" customHeight="1" thickBot="1"/>
    <row r="1146" ht="81.75" customHeight="1" thickBot="1"/>
    <row r="1147" ht="81.75" customHeight="1" thickBot="1"/>
    <row r="1148" ht="81.75" customHeight="1" thickBot="1"/>
    <row r="1149" ht="81.75" customHeight="1" thickBot="1"/>
    <row r="1150" ht="81.75" customHeight="1" thickBot="1"/>
    <row r="1151" ht="81.75" customHeight="1" thickBot="1"/>
    <row r="1152" ht="81.75" customHeight="1" thickBot="1"/>
    <row r="1153" ht="81.75" customHeight="1" thickBot="1"/>
    <row r="1154" ht="81.75" customHeight="1" thickBot="1"/>
    <row r="1155" ht="81.75" customHeight="1" thickBot="1"/>
    <row r="1156" ht="81.75" customHeight="1" thickBot="1"/>
    <row r="1157" ht="81.75" customHeight="1" thickBot="1"/>
    <row r="1158" ht="81.75" customHeight="1" thickBot="1"/>
    <row r="1159" ht="81.75" customHeight="1" thickBot="1"/>
    <row r="1160" ht="81.75" customHeight="1" thickBot="1"/>
    <row r="1161" ht="81.75" customHeight="1" thickBot="1"/>
    <row r="1162" ht="81.75" customHeight="1" thickBot="1"/>
    <row r="1163" ht="81.75" customHeight="1" thickBot="1"/>
    <row r="1164" ht="81.75" customHeight="1" thickBot="1"/>
    <row r="1165" ht="81.75" customHeight="1" thickBot="1"/>
    <row r="1166" ht="81.75" customHeight="1" thickBot="1"/>
    <row r="1167" ht="81.75" customHeight="1" thickBot="1"/>
    <row r="1168" ht="81.75" customHeight="1" thickBot="1"/>
    <row r="1169" ht="81.75" customHeight="1" thickBot="1"/>
    <row r="1170" ht="81.75" customHeight="1" thickBot="1"/>
    <row r="1171" ht="81.75" customHeight="1" thickBot="1"/>
    <row r="1172" ht="81.75" customHeight="1" thickBot="1"/>
    <row r="1173" ht="81.75" customHeight="1" thickBot="1"/>
    <row r="1174" ht="81.75" customHeight="1" thickBot="1"/>
    <row r="1175" ht="81.75" customHeight="1" thickBot="1"/>
    <row r="1176" ht="81.75" customHeight="1" thickBot="1"/>
    <row r="1177" ht="81.75" customHeight="1" thickBot="1"/>
    <row r="1178" ht="81.75" customHeight="1" thickBot="1"/>
    <row r="1179" ht="81.75" customHeight="1" thickBot="1"/>
    <row r="1180" ht="81.75" customHeight="1" thickBot="1"/>
    <row r="1181" ht="81.75" customHeight="1" thickBot="1"/>
    <row r="1182" ht="81.75" customHeight="1" thickBot="1"/>
    <row r="1183" ht="81.75" customHeight="1" thickBot="1"/>
    <row r="1184" ht="81.75" customHeight="1" thickBot="1"/>
    <row r="1185" ht="81.75" customHeight="1" thickBot="1"/>
    <row r="1186" ht="81.75" customHeight="1" thickBot="1"/>
    <row r="1187" ht="81.75" customHeight="1" thickBot="1"/>
    <row r="1188" ht="81.75" customHeight="1" thickBot="1"/>
    <row r="1189" ht="81.75" customHeight="1" thickBot="1"/>
    <row r="1190" ht="81.75" customHeight="1" thickBot="1"/>
    <row r="1191" ht="81.75" customHeight="1" thickBot="1"/>
    <row r="1192" ht="81.75" customHeight="1" thickBot="1"/>
    <row r="1193" ht="81.75" customHeight="1" thickBot="1"/>
    <row r="1194" ht="81.75" customHeight="1" thickBot="1"/>
    <row r="1195" ht="81.75" customHeight="1" thickBot="1"/>
    <row r="1196" ht="81.75" customHeight="1" thickBot="1"/>
    <row r="1197" ht="81.75" customHeight="1" thickBot="1"/>
    <row r="1198" ht="81.75" customHeight="1" thickBot="1"/>
    <row r="1199" ht="81.75" customHeight="1" thickBot="1"/>
    <row r="1200" ht="81.75" customHeight="1" thickBot="1"/>
    <row r="1201" ht="81.75" customHeight="1" thickBot="1"/>
    <row r="1202" ht="81.75" customHeight="1" thickBot="1"/>
    <row r="1203" ht="81.75" customHeight="1" thickBot="1"/>
    <row r="1204" ht="81.75" customHeight="1" thickBot="1"/>
    <row r="1205" ht="81.75" customHeight="1" thickBot="1"/>
    <row r="1206" ht="81.75" customHeight="1" thickBot="1"/>
    <row r="1207" ht="81.75" customHeight="1" thickBot="1"/>
    <row r="1208" ht="81.75" customHeight="1" thickBot="1"/>
    <row r="1209" ht="81.75" customHeight="1" thickBot="1"/>
    <row r="1210" ht="81.75" customHeight="1" thickBot="1"/>
    <row r="1211" ht="81.75" customHeight="1" thickBot="1"/>
    <row r="1212" ht="81.75" customHeight="1" thickBot="1"/>
    <row r="1213" ht="81.75" customHeight="1" thickBot="1"/>
    <row r="1214" ht="81.75" customHeight="1" thickBot="1"/>
    <row r="1215" ht="81.75" customHeight="1" thickBot="1"/>
    <row r="1216" ht="81.75" customHeight="1" thickBot="1"/>
    <row r="1217" ht="81.75" customHeight="1" thickBot="1"/>
    <row r="1218" ht="81.75" customHeight="1" thickBot="1"/>
    <row r="1219" ht="81.75" customHeight="1" thickBot="1"/>
    <row r="1220" ht="81.75" customHeight="1" thickBot="1"/>
    <row r="1221" ht="81.75" customHeight="1" thickBot="1"/>
    <row r="1222" ht="81.75" customHeight="1" thickBot="1"/>
    <row r="1223" ht="81.75" customHeight="1" thickBot="1"/>
    <row r="1224" ht="81.75" customHeight="1" thickBot="1"/>
    <row r="1225" ht="81.75" customHeight="1" thickBot="1"/>
    <row r="1226" ht="81.75" customHeight="1" thickBot="1"/>
    <row r="1227" ht="81.75" customHeight="1" thickBot="1"/>
    <row r="1228" ht="81.75" customHeight="1" thickBot="1"/>
    <row r="1229" ht="81.75" customHeight="1" thickBot="1"/>
    <row r="1230" ht="81.75" customHeight="1" thickBot="1"/>
    <row r="1231" ht="81.75" customHeight="1" thickBot="1"/>
    <row r="1232" ht="81.75" customHeight="1" thickBot="1"/>
    <row r="1233" ht="81.75" customHeight="1" thickBot="1"/>
    <row r="1234" ht="81.75" customHeight="1" thickBot="1"/>
    <row r="1235" ht="81.75" customHeight="1" thickBot="1"/>
    <row r="1236" ht="81.75" customHeight="1" thickBot="1"/>
    <row r="1237" ht="81.75" customHeight="1" thickBot="1"/>
    <row r="1238" ht="81.75" customHeight="1" thickBot="1"/>
    <row r="1239" ht="81.75" customHeight="1" thickBot="1"/>
    <row r="1240" ht="81.75" customHeight="1" thickBot="1"/>
    <row r="1241" ht="81.75" customHeight="1" thickBot="1"/>
    <row r="1242" ht="81.75" customHeight="1" thickBot="1"/>
    <row r="1243" ht="81.75" customHeight="1" thickBot="1"/>
    <row r="1244" ht="81.75" customHeight="1" thickBot="1"/>
    <row r="1245" ht="81.75" customHeight="1" thickBot="1"/>
    <row r="1246" ht="81.75" customHeight="1" thickBot="1"/>
    <row r="1247" ht="81.75" customHeight="1" thickBot="1"/>
    <row r="1248" ht="81.75" customHeight="1" thickBot="1"/>
    <row r="1249" ht="81.75" customHeight="1" thickBot="1"/>
    <row r="1250" ht="81.75" customHeight="1" thickBot="1"/>
    <row r="1251" ht="81.75" customHeight="1" thickBot="1"/>
    <row r="1252" ht="81.75" customHeight="1" thickBot="1"/>
    <row r="1253" ht="81.75" customHeight="1" thickBot="1"/>
    <row r="1254" ht="81.75" customHeight="1" thickBot="1"/>
    <row r="1255" ht="81.75" customHeight="1" thickBot="1"/>
    <row r="1256" ht="81.75" customHeight="1" thickBot="1"/>
    <row r="1257" ht="81.75" customHeight="1" thickBot="1"/>
    <row r="1258" ht="81.75" customHeight="1" thickBot="1"/>
    <row r="1259" ht="81.75" customHeight="1" thickBot="1"/>
    <row r="1260" ht="81.75" customHeight="1" thickBot="1"/>
    <row r="1261" ht="81.75" customHeight="1" thickBot="1"/>
    <row r="1262" ht="81.75" customHeight="1" thickBot="1"/>
    <row r="1263" ht="81.75" customHeight="1" thickBot="1"/>
    <row r="1264" ht="81.75" customHeight="1" thickBot="1"/>
    <row r="1265" ht="81.75" customHeight="1" thickBot="1"/>
    <row r="1266" ht="81.75" customHeight="1" thickBot="1"/>
    <row r="1267" ht="81.75" customHeight="1" thickBot="1"/>
    <row r="1268" ht="81.75" customHeight="1" thickBot="1"/>
    <row r="1269" ht="81.75" customHeight="1" thickBot="1"/>
    <row r="1270" ht="81.75" customHeight="1" thickBot="1"/>
    <row r="1271" ht="81.75" customHeight="1" thickBot="1"/>
    <row r="1272" ht="81.75" customHeight="1" thickBot="1"/>
    <row r="1273" ht="81.75" customHeight="1" thickBot="1"/>
    <row r="1274" ht="81.75" customHeight="1" thickBot="1"/>
    <row r="1275" ht="81.75" customHeight="1" thickBot="1"/>
    <row r="1276" ht="81.75" customHeight="1" thickBot="1"/>
    <row r="1277" ht="81.75" customHeight="1" thickBot="1"/>
    <row r="1278" ht="81.75" customHeight="1" thickBot="1"/>
    <row r="1279" ht="81.75" customHeight="1" thickBot="1"/>
    <row r="1280" ht="81.75" customHeight="1" thickBot="1"/>
    <row r="1281" ht="81.75" customHeight="1" thickBot="1"/>
    <row r="1282" ht="81.75" customHeight="1" thickBot="1"/>
    <row r="1283" ht="81.75" customHeight="1" thickBot="1"/>
    <row r="1284" ht="81.75" customHeight="1" thickBot="1"/>
    <row r="1285" ht="81.75" customHeight="1" thickBot="1"/>
    <row r="1286" ht="81.75" customHeight="1" thickBot="1"/>
    <row r="1287" ht="81.75" customHeight="1" thickBot="1"/>
    <row r="1288" ht="81.75" customHeight="1" thickBot="1"/>
    <row r="1289" ht="81.75" customHeight="1" thickBot="1"/>
    <row r="1290" ht="81.75" customHeight="1" thickBot="1"/>
    <row r="1291" ht="81.75" customHeight="1" thickBot="1"/>
    <row r="1292" ht="81.75" customHeight="1" thickBot="1"/>
    <row r="1293" ht="81.75" customHeight="1" thickBot="1"/>
    <row r="1294" ht="81.75" customHeight="1" thickBot="1"/>
    <row r="1295" ht="81.75" customHeight="1" thickBot="1"/>
    <row r="1296" ht="81.75" customHeight="1" thickBot="1"/>
    <row r="1297" ht="81.75" customHeight="1" thickBot="1"/>
    <row r="1298" ht="81.75" customHeight="1" thickBot="1"/>
    <row r="1299" ht="81.75" customHeight="1" thickBot="1"/>
    <row r="1300" ht="81.75" customHeight="1" thickBot="1"/>
    <row r="1301" ht="81.75" customHeight="1" thickBot="1"/>
    <row r="1302" ht="81.75" customHeight="1" thickBot="1"/>
    <row r="1303" ht="81.75" customHeight="1" thickBot="1"/>
    <row r="1304" ht="81.75" customHeight="1" thickBot="1"/>
    <row r="1305" ht="81.75" customHeight="1" thickBot="1"/>
    <row r="1306" ht="81.75" customHeight="1" thickBot="1"/>
    <row r="1307" ht="81.75" customHeight="1" thickBot="1"/>
    <row r="1308" ht="81.75" customHeight="1" thickBot="1"/>
    <row r="1309" ht="81.75" customHeight="1" thickBot="1"/>
    <row r="1310" ht="81.75" customHeight="1" thickBot="1"/>
    <row r="1311" ht="81.75" customHeight="1" thickBot="1"/>
    <row r="1312" ht="81.75" customHeight="1" thickBot="1"/>
    <row r="1313" ht="81.75" customHeight="1" thickBot="1"/>
    <row r="1314" ht="81.75" customHeight="1" thickBot="1"/>
    <row r="1315" ht="81.75" customHeight="1" thickBot="1"/>
    <row r="1316" ht="81.75" customHeight="1" thickBot="1"/>
    <row r="1317" ht="81.75" customHeight="1" thickBot="1"/>
    <row r="1318" ht="81.75" customHeight="1" thickBot="1"/>
    <row r="1319" ht="81.75" customHeight="1" thickBot="1"/>
    <row r="1320" ht="81.75" customHeight="1" thickBot="1"/>
    <row r="1321" ht="81.75" customHeight="1" thickBot="1"/>
    <row r="1322" ht="81.75" customHeight="1" thickBot="1"/>
    <row r="1323" ht="81.75" customHeight="1" thickBot="1"/>
    <row r="1324" ht="81.75" customHeight="1" thickBot="1"/>
    <row r="1325" ht="81.75" customHeight="1" thickBot="1"/>
    <row r="1326" ht="81.75" customHeight="1" thickBot="1"/>
    <row r="1327" ht="81.75" customHeight="1" thickBot="1"/>
    <row r="1328" ht="81.75" customHeight="1" thickBot="1"/>
    <row r="1329" ht="81.75" customHeight="1" thickBot="1"/>
    <row r="1330" ht="81.75" customHeight="1" thickBot="1"/>
    <row r="1331" ht="81.75" customHeight="1" thickBot="1"/>
    <row r="1332" ht="81.75" customHeight="1" thickBot="1"/>
    <row r="1333" ht="81.75" customHeight="1" thickBot="1"/>
    <row r="1334" ht="81.75" customHeight="1" thickBot="1"/>
    <row r="1335" ht="81.75" customHeight="1" thickBot="1"/>
    <row r="1336" ht="81.75" customHeight="1" thickBot="1"/>
    <row r="1337" ht="81.75" customHeight="1" thickBot="1"/>
    <row r="1338" ht="81.75" customHeight="1" thickBot="1"/>
    <row r="1339" ht="81.75" customHeight="1" thickBot="1"/>
    <row r="1340" ht="81.75" customHeight="1" thickBot="1"/>
    <row r="1341" ht="81.75" customHeight="1" thickBot="1"/>
    <row r="1342" ht="81.75" customHeight="1" thickBot="1"/>
    <row r="1343" ht="81.75" customHeight="1" thickBot="1"/>
    <row r="1344" ht="81.75" customHeight="1" thickBot="1"/>
    <row r="1345" ht="81.75" customHeight="1" thickBot="1"/>
    <row r="1346" ht="81.75" customHeight="1" thickBot="1"/>
    <row r="1347" ht="81.75" customHeight="1" thickBot="1"/>
    <row r="1348" ht="81.75" customHeight="1" thickBot="1"/>
    <row r="1349" ht="81.75" customHeight="1" thickBot="1"/>
    <row r="1350" ht="81.75" customHeight="1" thickBot="1"/>
    <row r="1351" ht="81.75" customHeight="1" thickBot="1"/>
    <row r="1352" ht="81.75" customHeight="1" thickBot="1"/>
    <row r="1353" ht="81.75" customHeight="1" thickBot="1"/>
    <row r="1354" ht="81.75" customHeight="1" thickBot="1"/>
    <row r="1355" ht="81.75" customHeight="1" thickBot="1"/>
    <row r="1356" ht="81.75" customHeight="1" thickBot="1"/>
    <row r="1357" ht="81.75" customHeight="1" thickBot="1"/>
    <row r="1358" ht="81.75" customHeight="1" thickBot="1"/>
    <row r="1359" ht="81.75" customHeight="1" thickBot="1"/>
    <row r="1360" ht="81.75" customHeight="1" thickBot="1"/>
    <row r="1361" ht="81.75" customHeight="1" thickBot="1"/>
    <row r="1362" ht="81.75" customHeight="1" thickBot="1"/>
    <row r="1363" ht="81.75" customHeight="1" thickBot="1"/>
    <row r="1364" ht="81.75" customHeight="1" thickBot="1"/>
    <row r="1365" ht="81.75" customHeight="1" thickBot="1"/>
    <row r="1366" ht="81.75" customHeight="1" thickBot="1"/>
    <row r="1367" ht="81.75" customHeight="1" thickBot="1"/>
    <row r="1368" ht="81.75" customHeight="1" thickBot="1"/>
    <row r="1369" ht="81.75" customHeight="1" thickBot="1"/>
    <row r="1370" ht="81.75" customHeight="1" thickBot="1"/>
    <row r="1371" ht="81.75" customHeight="1" thickBot="1"/>
    <row r="1372" ht="81.75" customHeight="1" thickBot="1"/>
    <row r="1373" ht="81.75" customHeight="1" thickBot="1"/>
    <row r="1374" ht="81.75" customHeight="1" thickBot="1"/>
    <row r="1375" ht="81.75" customHeight="1" thickBot="1"/>
    <row r="1376" ht="81.75" customHeight="1" thickBot="1"/>
    <row r="1377" ht="81.75" customHeight="1" thickBot="1"/>
    <row r="1378" ht="81.75" customHeight="1" thickBot="1"/>
    <row r="1379" ht="81.75" customHeight="1" thickBot="1"/>
    <row r="1380" ht="81.75" customHeight="1" thickBot="1"/>
    <row r="1381" ht="81.75" customHeight="1" thickBot="1"/>
    <row r="1382" ht="81.75" customHeight="1" thickBot="1"/>
    <row r="1383" ht="81.75" customHeight="1" thickBot="1"/>
    <row r="1384" ht="81.75" customHeight="1" thickBot="1"/>
    <row r="1385" ht="81.75" customHeight="1" thickBot="1"/>
    <row r="1386" ht="81.75" customHeight="1" thickBot="1"/>
    <row r="1387" ht="81.75" customHeight="1" thickBot="1"/>
    <row r="1388" ht="81.75" customHeight="1" thickBot="1"/>
    <row r="1389" ht="81.75" customHeight="1" thickBot="1"/>
    <row r="1390" ht="81.75" customHeight="1" thickBot="1"/>
    <row r="1391" ht="81.75" customHeight="1" thickBot="1"/>
    <row r="1392" ht="81.75" customHeight="1" thickBot="1"/>
    <row r="1393" ht="81.75" customHeight="1" thickBot="1"/>
    <row r="1394" ht="81.75" customHeight="1" thickBot="1"/>
    <row r="1395" ht="81.75" customHeight="1" thickBot="1"/>
    <row r="1396" ht="81.75" customHeight="1" thickBot="1"/>
    <row r="1397" ht="81.75" customHeight="1" thickBot="1"/>
    <row r="1398" ht="81.75" customHeight="1" thickBot="1"/>
    <row r="1399" ht="81.75" customHeight="1" thickBot="1"/>
    <row r="1400" ht="81.75" customHeight="1" thickBot="1"/>
    <row r="1401" ht="81.75" customHeight="1" thickBot="1"/>
    <row r="1402" ht="81.75" customHeight="1" thickBot="1"/>
    <row r="1403" ht="81.75" customHeight="1" thickBot="1"/>
    <row r="1404" ht="81.75" customHeight="1" thickBot="1"/>
    <row r="1405" ht="81.75" customHeight="1" thickBot="1"/>
    <row r="1406" ht="81.75" customHeight="1" thickBot="1"/>
    <row r="1407" ht="81.75" customHeight="1" thickBot="1"/>
    <row r="1408" ht="81.75" customHeight="1" thickBot="1"/>
    <row r="1409" ht="81.75" customHeight="1" thickBot="1"/>
    <row r="1410" ht="81.75" customHeight="1" thickBot="1"/>
    <row r="1411" ht="81.75" customHeight="1" thickBot="1"/>
    <row r="1412" ht="81.75" customHeight="1" thickBot="1"/>
    <row r="1413" ht="81.75" customHeight="1" thickBot="1"/>
    <row r="1414" ht="81.75" customHeight="1" thickBot="1"/>
    <row r="1415" ht="81.75" customHeight="1" thickBot="1"/>
    <row r="1416" ht="81.75" customHeight="1" thickBot="1"/>
    <row r="1417" ht="81.75" customHeight="1" thickBot="1"/>
    <row r="1418" ht="81.75" customHeight="1" thickBot="1"/>
    <row r="1419" ht="81.75" customHeight="1" thickBot="1"/>
    <row r="1420" ht="81.75" customHeight="1" thickBot="1"/>
    <row r="1421" ht="81.75" customHeight="1" thickBot="1"/>
    <row r="1422" ht="81.75" customHeight="1" thickBot="1"/>
    <row r="1423" ht="81.75" customHeight="1" thickBot="1"/>
    <row r="1424" ht="81.75" customHeight="1" thickBot="1"/>
    <row r="1425" ht="81.75" customHeight="1" thickBot="1"/>
    <row r="1426" ht="81.75" customHeight="1" thickBot="1"/>
    <row r="1427" ht="81.75" customHeight="1" thickBot="1"/>
    <row r="1428" ht="81.75" customHeight="1" thickBot="1"/>
    <row r="1429" ht="81.75" customHeight="1" thickBot="1"/>
    <row r="1430" ht="81.75" customHeight="1" thickBot="1"/>
    <row r="1431" ht="81.75" customHeight="1" thickBot="1"/>
    <row r="1432" ht="81.75" customHeight="1" thickBot="1"/>
    <row r="1433" ht="81.75" customHeight="1" thickBot="1"/>
    <row r="1434" ht="81.75" customHeight="1" thickBot="1"/>
    <row r="1435" ht="81.75" customHeight="1" thickBot="1"/>
    <row r="1436" ht="81.75" customHeight="1" thickBot="1"/>
    <row r="1437" ht="81.75" customHeight="1" thickBot="1"/>
    <row r="1438" ht="81.75" customHeight="1" thickBot="1"/>
    <row r="1439" ht="81.75" customHeight="1" thickBot="1"/>
    <row r="1440" ht="81.75" customHeight="1" thickBot="1"/>
    <row r="1441" ht="81.75" customHeight="1" thickBot="1"/>
    <row r="1442" ht="81.75" customHeight="1" thickBot="1"/>
    <row r="1443" ht="81.75" customHeight="1" thickBot="1"/>
    <row r="1444" ht="81.75" customHeight="1" thickBot="1"/>
    <row r="1445" ht="81.75" customHeight="1" thickBot="1"/>
    <row r="1446" ht="81.75" customHeight="1" thickBot="1"/>
    <row r="1447" ht="81.75" customHeight="1" thickBot="1"/>
    <row r="1448" ht="81.75" customHeight="1" thickBot="1"/>
    <row r="1449" ht="81.75" customHeight="1" thickBot="1"/>
    <row r="1450" ht="81.75" customHeight="1" thickBot="1"/>
    <row r="1451" ht="81.75" customHeight="1" thickBot="1"/>
    <row r="1452" ht="81.75" customHeight="1" thickBot="1"/>
    <row r="1453" ht="81.75" customHeight="1" thickBot="1"/>
    <row r="1454" ht="81.75" customHeight="1" thickBot="1"/>
    <row r="1455" ht="81.75" customHeight="1" thickBot="1"/>
    <row r="1456" ht="81.75" customHeight="1" thickBot="1"/>
    <row r="1457" ht="81.75" customHeight="1" thickBot="1"/>
    <row r="1458" ht="81.75" customHeight="1" thickBot="1"/>
    <row r="1459" ht="81.75" customHeight="1" thickBot="1"/>
    <row r="1460" ht="81.75" customHeight="1" thickBot="1"/>
    <row r="1461" ht="81.75" customHeight="1" thickBot="1"/>
    <row r="1462" ht="81.75" customHeight="1" thickBot="1"/>
    <row r="1463" ht="81.75" customHeight="1" thickBot="1"/>
    <row r="1464" ht="81.75" customHeight="1" thickBot="1"/>
    <row r="1465" ht="81.75" customHeight="1" thickBot="1"/>
    <row r="1466" ht="81.75" customHeight="1" thickBot="1"/>
    <row r="1467" ht="81.75" customHeight="1" thickBot="1"/>
    <row r="1468" ht="81.75" customHeight="1" thickBot="1"/>
    <row r="1469" ht="81.75" customHeight="1" thickBot="1"/>
    <row r="1470" ht="81.75" customHeight="1" thickBot="1"/>
    <row r="1471" ht="81.75" customHeight="1" thickBot="1"/>
    <row r="1472" ht="81.75" customHeight="1" thickBot="1"/>
    <row r="1473" ht="81.75" customHeight="1" thickBot="1"/>
    <row r="1474" ht="81.75" customHeight="1" thickBot="1"/>
    <row r="1475" ht="81.75" customHeight="1" thickBot="1"/>
    <row r="1476" ht="81.75" customHeight="1" thickBot="1"/>
    <row r="1477" ht="81.75" customHeight="1" thickBot="1"/>
    <row r="1478" ht="81.75" customHeight="1" thickBot="1"/>
    <row r="1479" ht="81.75" customHeight="1" thickBot="1"/>
    <row r="1480" ht="81.75" customHeight="1" thickBot="1"/>
    <row r="1481" ht="81.75" customHeight="1" thickBot="1"/>
    <row r="1482" ht="81.75" customHeight="1" thickBot="1"/>
    <row r="1483" ht="81.75" customHeight="1" thickBot="1"/>
    <row r="1484" ht="81.75" customHeight="1" thickBot="1"/>
    <row r="1485" ht="81.75" customHeight="1" thickBot="1"/>
    <row r="1486" ht="81.75" customHeight="1" thickBot="1"/>
    <row r="1487" ht="81.75" customHeight="1" thickBot="1"/>
    <row r="1488" ht="81.75" customHeight="1" thickBot="1"/>
    <row r="1489" ht="81.75" customHeight="1" thickBot="1"/>
    <row r="1490" ht="81.75" customHeight="1" thickBot="1"/>
    <row r="1491" ht="81.75" customHeight="1" thickBot="1"/>
    <row r="1492" ht="81.75" customHeight="1" thickBot="1"/>
    <row r="1493" ht="81.75" customHeight="1" thickBot="1"/>
    <row r="1494" ht="81.75" customHeight="1" thickBot="1"/>
    <row r="1495" ht="81.75" customHeight="1" thickBot="1"/>
    <row r="1496" ht="81.75" customHeight="1" thickBot="1"/>
    <row r="1497" ht="81.75" customHeight="1" thickBot="1"/>
    <row r="1498" ht="81.75" customHeight="1" thickBot="1"/>
    <row r="1499" ht="81.75" customHeight="1" thickBot="1"/>
    <row r="1500" ht="81.75" customHeight="1" thickBot="1"/>
    <row r="1501" ht="81.75" customHeight="1" thickBot="1"/>
    <row r="1502" ht="81.75" customHeight="1" thickBot="1"/>
    <row r="1503" ht="81.75" customHeight="1" thickBot="1"/>
    <row r="1504" ht="81.75" customHeight="1" thickBot="1"/>
    <row r="1505" ht="81.75" customHeight="1" thickBot="1"/>
    <row r="1506" ht="81.75" customHeight="1" thickBot="1"/>
    <row r="1507" ht="81.75" customHeight="1" thickBot="1"/>
    <row r="1508" ht="81.75" customHeight="1" thickBot="1"/>
    <row r="1509" ht="81.75" customHeight="1" thickBot="1"/>
    <row r="1510" ht="81.75" customHeight="1" thickBot="1"/>
    <row r="1511" ht="81.75" customHeight="1" thickBot="1"/>
    <row r="1512" ht="81.75" customHeight="1" thickBot="1"/>
    <row r="1513" ht="81.75" customHeight="1" thickBot="1"/>
    <row r="1514" ht="81.75" customHeight="1" thickBot="1"/>
    <row r="1515" ht="81.75" customHeight="1" thickBot="1"/>
    <row r="1516" ht="81.75" customHeight="1" thickBot="1"/>
    <row r="1517" ht="81.75" customHeight="1" thickBot="1"/>
    <row r="1518" ht="81.75" customHeight="1" thickBot="1"/>
    <row r="1519" ht="81.75" customHeight="1" thickBot="1"/>
    <row r="1520" ht="81.75" customHeight="1" thickBot="1"/>
    <row r="1521" ht="81.75" customHeight="1" thickBot="1"/>
    <row r="1522" ht="81.75" customHeight="1" thickBot="1"/>
    <row r="1523" ht="81.75" customHeight="1" thickBot="1"/>
    <row r="1524" ht="81.75" customHeight="1" thickBot="1"/>
    <row r="1525" ht="81.75" customHeight="1" thickBot="1"/>
    <row r="1526" ht="81.75" customHeight="1" thickBot="1"/>
    <row r="1527" ht="81.75" customHeight="1" thickBot="1"/>
    <row r="1528" ht="81.75" customHeight="1" thickBot="1"/>
    <row r="1529" ht="81.75" customHeight="1" thickBot="1"/>
    <row r="1530" ht="81.75" customHeight="1" thickBot="1"/>
    <row r="1531" ht="81.75" customHeight="1" thickBot="1"/>
    <row r="1532" ht="81.75" customHeight="1" thickBot="1"/>
    <row r="1533" ht="81.75" customHeight="1" thickBot="1"/>
    <row r="1534" ht="81.75" customHeight="1" thickBot="1"/>
    <row r="1535" ht="81.75" customHeight="1" thickBot="1"/>
    <row r="1536" ht="81.75" customHeight="1" thickBot="1"/>
    <row r="1537" ht="81.75" customHeight="1" thickBot="1"/>
    <row r="1538" ht="81.75" customHeight="1" thickBot="1"/>
    <row r="1539" ht="81.75" customHeight="1" thickBot="1"/>
    <row r="1540" ht="81.75" customHeight="1" thickBot="1"/>
    <row r="1541" ht="81.75" customHeight="1" thickBot="1"/>
    <row r="1542" ht="81.75" customHeight="1" thickBot="1"/>
    <row r="1543" ht="81.75" customHeight="1" thickBot="1"/>
    <row r="1544" ht="81.75" customHeight="1" thickBot="1"/>
    <row r="1545" ht="81.75" customHeight="1" thickBot="1"/>
    <row r="1546" ht="81.75" customHeight="1" thickBot="1"/>
    <row r="1547" ht="81.75" customHeight="1" thickBot="1"/>
    <row r="1548" ht="81.75" customHeight="1" thickBot="1"/>
    <row r="1549" ht="81.75" customHeight="1" thickBot="1"/>
    <row r="1550" ht="81.75" customHeight="1" thickBot="1"/>
    <row r="1551" ht="81.75" customHeight="1" thickBot="1"/>
    <row r="1552" ht="81.75" customHeight="1" thickBot="1"/>
    <row r="1553" ht="81.75" customHeight="1" thickBot="1"/>
    <row r="1554" ht="81.75" customHeight="1" thickBot="1"/>
    <row r="1555" ht="81.75" customHeight="1" thickBot="1"/>
    <row r="1556" ht="81.75" customHeight="1" thickBot="1"/>
    <row r="1557" ht="81.75" customHeight="1" thickBot="1"/>
    <row r="1558" ht="81.75" customHeight="1" thickBot="1"/>
    <row r="1559" ht="81.75" customHeight="1" thickBot="1"/>
    <row r="1560" ht="81.75" customHeight="1" thickBot="1"/>
    <row r="1561" ht="81.75" customHeight="1" thickBot="1"/>
    <row r="1562" ht="81.75" customHeight="1" thickBot="1"/>
    <row r="1563" ht="81.75" customHeight="1" thickBot="1"/>
    <row r="1564" ht="81.75" customHeight="1" thickBot="1"/>
    <row r="1565" ht="81.75" customHeight="1" thickBot="1"/>
    <row r="1566" ht="81.75" customHeight="1" thickBot="1"/>
    <row r="1567" ht="81.75" customHeight="1" thickBot="1"/>
    <row r="1568" ht="81.75" customHeight="1" thickBot="1"/>
    <row r="1569" ht="81.75" customHeight="1" thickBot="1"/>
    <row r="1570" ht="81.75" customHeight="1" thickBot="1"/>
    <row r="1571" ht="81.75" customHeight="1" thickBot="1"/>
    <row r="1572" ht="81.75" customHeight="1" thickBot="1"/>
    <row r="1573" ht="81.75" customHeight="1" thickBot="1"/>
    <row r="1574" ht="81.75" customHeight="1" thickBot="1"/>
    <row r="1575" ht="81.75" customHeight="1" thickBot="1"/>
    <row r="1576" ht="81.75" customHeight="1" thickBot="1"/>
    <row r="1577" ht="81.75" customHeight="1" thickBot="1"/>
    <row r="1578" ht="81.75" customHeight="1" thickBot="1"/>
    <row r="1579" ht="81.75" customHeight="1" thickBot="1"/>
    <row r="1580" ht="81.75" customHeight="1" thickBot="1"/>
    <row r="1581" ht="81.75" customHeight="1" thickBot="1"/>
    <row r="1582" ht="81.75" customHeight="1" thickBot="1"/>
    <row r="1583" ht="81.75" customHeight="1" thickBot="1"/>
    <row r="1584" ht="81.75" customHeight="1" thickBot="1"/>
    <row r="1585" ht="81.75" customHeight="1" thickBot="1"/>
    <row r="1586" ht="81.75" customHeight="1" thickBot="1"/>
    <row r="1587" ht="81.75" customHeight="1" thickBot="1"/>
    <row r="1588" ht="81.75" customHeight="1" thickBot="1"/>
    <row r="1589" ht="81.75" customHeight="1" thickBot="1"/>
    <row r="1590" ht="81.75" customHeight="1" thickBot="1"/>
    <row r="1591" ht="81.75" customHeight="1" thickBot="1"/>
    <row r="1592" ht="81.75" customHeight="1" thickBot="1"/>
    <row r="1593" ht="81.75" customHeight="1" thickBot="1"/>
    <row r="1594" ht="81.75" customHeight="1" thickBot="1"/>
    <row r="1595" ht="81.75" customHeight="1" thickBot="1"/>
    <row r="1596" ht="81.75" customHeight="1" thickBot="1"/>
    <row r="1597" ht="81.75" customHeight="1" thickBot="1"/>
    <row r="1598" ht="81.75" customHeight="1" thickBot="1"/>
    <row r="1599" ht="81.75" customHeight="1" thickBot="1"/>
    <row r="1600" ht="81.75" customHeight="1" thickBot="1"/>
    <row r="1601" ht="81.75" customHeight="1" thickBot="1"/>
    <row r="1602" ht="81.75" customHeight="1" thickBot="1"/>
    <row r="1603" ht="81.75" customHeight="1" thickBot="1"/>
    <row r="1604" ht="81.75" customHeight="1" thickBot="1"/>
    <row r="1605" ht="81.75" customHeight="1" thickBot="1"/>
    <row r="1606" ht="81.75" customHeight="1" thickBot="1"/>
    <row r="1607" ht="81.75" customHeight="1" thickBot="1"/>
    <row r="1608" ht="81.75" customHeight="1" thickBot="1"/>
    <row r="1609" ht="81.75" customHeight="1" thickBot="1"/>
    <row r="1610" ht="81.75" customHeight="1" thickBot="1"/>
    <row r="1611" ht="81.75" customHeight="1" thickBot="1"/>
    <row r="1612" ht="81.75" customHeight="1" thickBot="1"/>
    <row r="1613" ht="81.75" customHeight="1" thickBot="1"/>
    <row r="1614" ht="81.75" customHeight="1" thickBot="1"/>
    <row r="1615" ht="81.75" customHeight="1" thickBot="1"/>
    <row r="1616" ht="81.75" customHeight="1" thickBot="1"/>
    <row r="1617" ht="81.75" customHeight="1" thickBot="1"/>
    <row r="1618" ht="81.75" customHeight="1" thickBot="1"/>
    <row r="1619" ht="81.75" customHeight="1" thickBot="1"/>
    <row r="1620" ht="81.75" customHeight="1" thickBot="1"/>
    <row r="1621" ht="81.75" customHeight="1" thickBot="1"/>
    <row r="1622" ht="81.75" customHeight="1" thickBot="1"/>
    <row r="1623" ht="81.75" customHeight="1" thickBot="1"/>
    <row r="1624" ht="81.75" customHeight="1" thickBot="1"/>
    <row r="1625" ht="81.75" customHeight="1" thickBot="1"/>
    <row r="1626" ht="81.75" customHeight="1" thickBot="1"/>
    <row r="1627" ht="81.75" customHeight="1" thickBot="1"/>
    <row r="1628" ht="81.75" customHeight="1" thickBot="1"/>
    <row r="1629" ht="81.75" customHeight="1" thickBot="1"/>
    <row r="1630" ht="81.75" customHeight="1" thickBot="1"/>
    <row r="1631" ht="81.75" customHeight="1" thickBot="1"/>
    <row r="1632" ht="81.75" customHeight="1" thickBot="1"/>
    <row r="1633" ht="81.75" customHeight="1" thickBot="1"/>
    <row r="1634" ht="81.75" customHeight="1" thickBot="1"/>
    <row r="1635" ht="81.75" customHeight="1" thickBot="1"/>
    <row r="1636" ht="81.75" customHeight="1" thickBot="1"/>
    <row r="1637" ht="81.75" customHeight="1" thickBot="1"/>
    <row r="1638" ht="81.75" customHeight="1" thickBot="1"/>
    <row r="1639" ht="81.75" customHeight="1" thickBot="1"/>
    <row r="1640" ht="81.75" customHeight="1" thickBot="1"/>
    <row r="1641" ht="81.75" customHeight="1" thickBot="1"/>
    <row r="1642" ht="81.75" customHeight="1" thickBot="1"/>
    <row r="1643" ht="81.75" customHeight="1" thickBot="1"/>
    <row r="1644" ht="81.75" customHeight="1" thickBot="1"/>
    <row r="1645" ht="81.75" customHeight="1" thickBot="1"/>
    <row r="1646" ht="81.75" customHeight="1" thickBot="1"/>
    <row r="1647" ht="81.75" customHeight="1" thickBot="1"/>
    <row r="1648" ht="81.75" customHeight="1" thickBot="1"/>
    <row r="1649" ht="81.75" customHeight="1" thickBot="1"/>
    <row r="1650" ht="81.75" customHeight="1" thickBot="1"/>
    <row r="1651" ht="81.75" customHeight="1" thickBot="1"/>
    <row r="1652" ht="81.75" customHeight="1" thickBot="1"/>
    <row r="1653" ht="81.75" customHeight="1" thickBot="1"/>
    <row r="1654" ht="81.75" customHeight="1" thickBot="1"/>
    <row r="1655" ht="81.75" customHeight="1" thickBot="1"/>
    <row r="1656" ht="81.75" customHeight="1" thickBot="1"/>
    <row r="1657" ht="81.75" customHeight="1" thickBot="1"/>
    <row r="1658" ht="81.75" customHeight="1" thickBot="1"/>
    <row r="1659" ht="81.75" customHeight="1" thickBot="1"/>
    <row r="1660" ht="81.75" customHeight="1" thickBot="1"/>
    <row r="1661" ht="81.75" customHeight="1" thickBot="1"/>
    <row r="1662" ht="81.75" customHeight="1" thickBot="1"/>
    <row r="1663" ht="81.75" customHeight="1" thickBot="1"/>
    <row r="1664" ht="81.75" customHeight="1" thickBot="1"/>
    <row r="1665" ht="81.75" customHeight="1" thickBot="1"/>
    <row r="1666" ht="81.75" customHeight="1" thickBot="1"/>
    <row r="1667" ht="81.75" customHeight="1" thickBot="1"/>
    <row r="1668" ht="81.75" customHeight="1" thickBot="1"/>
    <row r="1669" ht="81.75" customHeight="1" thickBot="1"/>
    <row r="1670" ht="81.75" customHeight="1" thickBot="1"/>
    <row r="1671" ht="81.75" customHeight="1" thickBot="1"/>
    <row r="1672" ht="81.75" customHeight="1" thickBot="1"/>
    <row r="1673" ht="81.75" customHeight="1" thickBot="1"/>
    <row r="1674" ht="81.75" customHeight="1" thickBot="1"/>
    <row r="1675" ht="81.75" customHeight="1" thickBot="1"/>
    <row r="1676" ht="81.75" customHeight="1" thickBot="1"/>
    <row r="1677" ht="81.75" customHeight="1" thickBot="1"/>
    <row r="1678" ht="81.75" customHeight="1" thickBot="1"/>
    <row r="1679" ht="81.75" customHeight="1" thickBot="1"/>
    <row r="1680" ht="81.75" customHeight="1" thickBot="1"/>
    <row r="1681" ht="81.75" customHeight="1" thickBot="1"/>
    <row r="1682" ht="81.75" customHeight="1" thickBot="1"/>
    <row r="1683" ht="81.75" customHeight="1" thickBot="1"/>
    <row r="1684" ht="81.75" customHeight="1" thickBot="1"/>
    <row r="1685" ht="81.75" customHeight="1" thickBot="1"/>
    <row r="1686" ht="81.75" customHeight="1" thickBot="1"/>
    <row r="1687" ht="81.75" customHeight="1" thickBot="1"/>
    <row r="1688" ht="81.75" customHeight="1" thickBot="1"/>
    <row r="1689" ht="81.75" customHeight="1" thickBot="1"/>
    <row r="1690" ht="81.75" customHeight="1" thickBot="1"/>
    <row r="1691" ht="81.75" customHeight="1" thickBot="1"/>
    <row r="1692" ht="81.75" customHeight="1" thickBot="1"/>
    <row r="1693" ht="81.75" customHeight="1" thickBot="1"/>
    <row r="1694" ht="81.75" customHeight="1" thickBot="1"/>
    <row r="1695" ht="81.75" customHeight="1" thickBot="1"/>
    <row r="1696" ht="81.75" customHeight="1" thickBot="1"/>
    <row r="1697" ht="81.75" customHeight="1" thickBot="1"/>
    <row r="1698" ht="81.75" customHeight="1" thickBot="1"/>
    <row r="1699" ht="81.75" customHeight="1" thickBot="1"/>
    <row r="1700" ht="81.75" customHeight="1" thickBot="1"/>
    <row r="1701" ht="81.75" customHeight="1" thickBot="1"/>
    <row r="1702" ht="81.75" customHeight="1" thickBot="1"/>
    <row r="1703" ht="81.75" customHeight="1" thickBot="1"/>
    <row r="1704" ht="81.75" customHeight="1" thickBot="1"/>
    <row r="1705" ht="81.75" customHeight="1" thickBot="1"/>
    <row r="1706" ht="81.75" customHeight="1" thickBot="1"/>
    <row r="1707" ht="81.75" customHeight="1" thickBot="1"/>
    <row r="1708" ht="81.75" customHeight="1" thickBot="1"/>
    <row r="1709" ht="81.75" customHeight="1" thickBot="1"/>
    <row r="1710" ht="81.75" customHeight="1" thickBot="1"/>
    <row r="1711" ht="81.75" customHeight="1" thickBot="1"/>
    <row r="1712" ht="81.75" customHeight="1" thickBot="1"/>
    <row r="1713" ht="81.75" customHeight="1" thickBot="1"/>
    <row r="1714" ht="81.75" customHeight="1" thickBot="1"/>
    <row r="1715" ht="81.75" customHeight="1" thickBot="1"/>
    <row r="1716" ht="81.75" customHeight="1" thickBot="1"/>
    <row r="1717" ht="81.75" customHeight="1" thickBot="1"/>
    <row r="1718" ht="81.75" customHeight="1" thickBot="1"/>
    <row r="1719" ht="81.75" customHeight="1" thickBot="1"/>
    <row r="1720" ht="81.75" customHeight="1" thickBot="1"/>
    <row r="1721" ht="81.75" customHeight="1" thickBot="1"/>
    <row r="1722" ht="81.75" customHeight="1" thickBot="1"/>
    <row r="1723" ht="81.75" customHeight="1" thickBot="1"/>
    <row r="1724" ht="81.75" customHeight="1" thickBot="1"/>
    <row r="1725" ht="81.75" customHeight="1" thickBot="1"/>
    <row r="1726" ht="81.75" customHeight="1" thickBot="1"/>
    <row r="1727" ht="81.75" customHeight="1" thickBot="1"/>
    <row r="1728" ht="81.75" customHeight="1" thickBot="1"/>
    <row r="1729" ht="81.75" customHeight="1" thickBot="1"/>
    <row r="1730" ht="81.75" customHeight="1" thickBot="1"/>
    <row r="1731" ht="81.75" customHeight="1" thickBot="1"/>
    <row r="1732" ht="81.75" customHeight="1" thickBot="1"/>
    <row r="1733" ht="81.75" customHeight="1" thickBot="1"/>
    <row r="1734" ht="81.75" customHeight="1" thickBot="1"/>
    <row r="1735" ht="81.75" customHeight="1" thickBot="1"/>
    <row r="1736" ht="81.75" customHeight="1" thickBot="1"/>
    <row r="1737" ht="81.75" customHeight="1" thickBot="1"/>
    <row r="1738" ht="81.75" customHeight="1" thickBot="1"/>
    <row r="1739" ht="81.75" customHeight="1" thickBot="1"/>
    <row r="1740" ht="81.75" customHeight="1" thickBot="1"/>
    <row r="1741" ht="81.75" customHeight="1" thickBot="1"/>
    <row r="1742" ht="81.75" customHeight="1" thickBot="1"/>
    <row r="1743" ht="81.75" customHeight="1" thickBot="1"/>
    <row r="1744" ht="81.75" customHeight="1" thickBot="1"/>
    <row r="1745" ht="81.75" customHeight="1" thickBot="1"/>
    <row r="1746" ht="81.75" customHeight="1" thickBot="1"/>
    <row r="1747" ht="81.75" customHeight="1" thickBot="1"/>
    <row r="1748" ht="81.75" customHeight="1" thickBot="1"/>
    <row r="1749" ht="81.75" customHeight="1" thickBot="1"/>
    <row r="1750" ht="81.75" customHeight="1" thickBot="1"/>
    <row r="1751" ht="81.75" customHeight="1" thickBot="1"/>
    <row r="1752" ht="81.75" customHeight="1" thickBot="1"/>
    <row r="1753" ht="81.75" customHeight="1" thickBot="1"/>
    <row r="1754" ht="81.75" customHeight="1" thickBot="1"/>
    <row r="1755" ht="81.75" customHeight="1" thickBot="1"/>
    <row r="1756" ht="81.75" customHeight="1" thickBot="1"/>
    <row r="1757" ht="81.75" customHeight="1" thickBot="1"/>
    <row r="1758" ht="81.75" customHeight="1" thickBot="1"/>
    <row r="1759" ht="81.75" customHeight="1" thickBot="1"/>
    <row r="1760" ht="81.75" customHeight="1" thickBot="1"/>
    <row r="1761" ht="81.75" customHeight="1" thickBot="1"/>
    <row r="1762" ht="81.75" customHeight="1" thickBot="1"/>
    <row r="1763" ht="81.75" customHeight="1" thickBot="1"/>
    <row r="1764" ht="81.75" customHeight="1" thickBot="1"/>
    <row r="1765" ht="81.75" customHeight="1" thickBot="1"/>
    <row r="1766" ht="81.75" customHeight="1" thickBot="1"/>
    <row r="1767" ht="81.75" customHeight="1" thickBot="1"/>
    <row r="1768" ht="81.75" customHeight="1" thickBot="1"/>
    <row r="1769" ht="81.75" customHeight="1" thickBot="1"/>
    <row r="1770" ht="81.75" customHeight="1" thickBot="1"/>
    <row r="1771" ht="81.75" customHeight="1" thickBot="1"/>
    <row r="1772" ht="81.75" customHeight="1" thickBot="1"/>
    <row r="1773" ht="81.75" customHeight="1" thickBot="1"/>
    <row r="1774" ht="81.75" customHeight="1" thickBot="1"/>
    <row r="1775" ht="81.75" customHeight="1" thickBot="1"/>
    <row r="1776" ht="81.75" customHeight="1" thickBot="1"/>
    <row r="1777" ht="81.75" customHeight="1" thickBot="1"/>
    <row r="1778" ht="81.75" customHeight="1" thickBot="1"/>
    <row r="1779" ht="81.75" customHeight="1" thickBot="1"/>
    <row r="1780" ht="81.75" customHeight="1" thickBot="1"/>
    <row r="1781" ht="81.75" customHeight="1" thickBot="1"/>
    <row r="1782" ht="81.75" customHeight="1" thickBot="1"/>
    <row r="1783" ht="81.75" customHeight="1" thickBot="1"/>
    <row r="1784" ht="81.75" customHeight="1" thickBot="1"/>
    <row r="1785" ht="81.75" customHeight="1" thickBot="1"/>
    <row r="1786" ht="81.75" customHeight="1" thickBot="1"/>
    <row r="1787" ht="81.75" customHeight="1" thickBot="1"/>
    <row r="1788" ht="81.75" customHeight="1" thickBot="1"/>
    <row r="1789" ht="81.75" customHeight="1" thickBot="1"/>
    <row r="1790" ht="81.75" customHeight="1" thickBot="1"/>
    <row r="1791" ht="81.75" customHeight="1" thickBot="1"/>
    <row r="1792" ht="81.75" customHeight="1" thickBot="1"/>
    <row r="1793" ht="81.75" customHeight="1" thickBot="1"/>
    <row r="1794" ht="81.75" customHeight="1" thickBot="1"/>
    <row r="1795" ht="81.75" customHeight="1" thickBot="1"/>
    <row r="1796" ht="81.75" customHeight="1" thickBot="1"/>
    <row r="1797" ht="81.75" customHeight="1" thickBot="1"/>
    <row r="1798" ht="81.75" customHeight="1" thickBot="1"/>
    <row r="1799" ht="81.75" customHeight="1" thickBot="1"/>
    <row r="1800" ht="81.75" customHeight="1" thickBot="1"/>
    <row r="1801" ht="81.75" customHeight="1" thickBot="1"/>
    <row r="1802" ht="81.75" customHeight="1" thickBot="1"/>
    <row r="1803" ht="81.75" customHeight="1" thickBot="1"/>
    <row r="1804" ht="81.75" customHeight="1" thickBot="1"/>
    <row r="1805" ht="81.75" customHeight="1" thickBot="1"/>
    <row r="1806" ht="81.75" customHeight="1" thickBot="1"/>
    <row r="1807" ht="81.75" customHeight="1" thickBot="1"/>
    <row r="1808" ht="81.75" customHeight="1" thickBot="1"/>
    <row r="1809" ht="81.75" customHeight="1" thickBot="1"/>
    <row r="1810" ht="81.75" customHeight="1" thickBot="1"/>
    <row r="1811" ht="81.75" customHeight="1" thickBot="1"/>
    <row r="1812" ht="81.75" customHeight="1" thickBot="1"/>
    <row r="1813" ht="81.75" customHeight="1" thickBot="1"/>
    <row r="1814" ht="81.75" customHeight="1" thickBot="1"/>
    <row r="1815" ht="81.75" customHeight="1" thickBot="1"/>
    <row r="1816" ht="81.75" customHeight="1" thickBot="1"/>
    <row r="1817" ht="81.75" customHeight="1" thickBot="1"/>
    <row r="1818" ht="81.75" customHeight="1" thickBot="1"/>
    <row r="1819" ht="81.75" customHeight="1" thickBot="1"/>
    <row r="1820" ht="81.75" customHeight="1" thickBot="1"/>
    <row r="1821" ht="81.75" customHeight="1" thickBot="1"/>
    <row r="1822" ht="81.75" customHeight="1" thickBot="1"/>
    <row r="1823" ht="81.75" customHeight="1" thickBot="1"/>
    <row r="1824" ht="81.75" customHeight="1" thickBot="1"/>
    <row r="1825" ht="81.75" customHeight="1" thickBot="1"/>
    <row r="1826" ht="81.75" customHeight="1" thickBot="1"/>
    <row r="1827" ht="81.75" customHeight="1" thickBot="1"/>
    <row r="1828" ht="81.75" customHeight="1" thickBot="1"/>
    <row r="1829" ht="81.75" customHeight="1" thickBot="1"/>
    <row r="1830" ht="81.75" customHeight="1" thickBot="1"/>
    <row r="1831" ht="81.75" customHeight="1" thickBot="1"/>
    <row r="1832" ht="81.75" customHeight="1" thickBot="1"/>
    <row r="1833" ht="81.75" customHeight="1" thickBot="1"/>
    <row r="1834" ht="81.75" customHeight="1" thickBot="1"/>
    <row r="1835" ht="81.75" customHeight="1" thickBot="1"/>
    <row r="1836" ht="81.75" customHeight="1" thickBot="1"/>
    <row r="1837" ht="81.75" customHeight="1" thickBot="1"/>
    <row r="1838" ht="81.75" customHeight="1" thickBot="1"/>
    <row r="1839" ht="81.75" customHeight="1" thickBot="1"/>
    <row r="1840" ht="81.75" customHeight="1" thickBot="1"/>
    <row r="1841" ht="81.75" customHeight="1" thickBot="1"/>
    <row r="1842" ht="81.75" customHeight="1" thickBot="1"/>
    <row r="1843" ht="81.75" customHeight="1" thickBot="1"/>
    <row r="1844" ht="81.75" customHeight="1" thickBot="1"/>
    <row r="1845" ht="81.75" customHeight="1" thickBot="1"/>
    <row r="1846" ht="81.75" customHeight="1" thickBot="1"/>
    <row r="1847" ht="81.75" customHeight="1" thickBot="1"/>
    <row r="1848" ht="81.75" customHeight="1" thickBot="1"/>
    <row r="1849" ht="81.75" customHeight="1" thickBot="1"/>
    <row r="1850" ht="81.75" customHeight="1" thickBot="1"/>
    <row r="1851" ht="81.75" customHeight="1" thickBot="1"/>
    <row r="1852" ht="81.75" customHeight="1" thickBot="1"/>
    <row r="1853" ht="81.75" customHeight="1" thickBot="1"/>
    <row r="1854" ht="81.75" customHeight="1" thickBot="1"/>
    <row r="1855" ht="81.75" customHeight="1" thickBot="1"/>
    <row r="1856" ht="81.75" customHeight="1" thickBot="1"/>
    <row r="1857" ht="81.75" customHeight="1" thickBot="1"/>
    <row r="1858" ht="81.75" customHeight="1" thickBot="1"/>
    <row r="1859" ht="81.75" customHeight="1" thickBot="1"/>
    <row r="1860" ht="81.75" customHeight="1" thickBot="1"/>
    <row r="1861" ht="81.75" customHeight="1" thickBot="1"/>
    <row r="1862" ht="81.75" customHeight="1" thickBot="1"/>
    <row r="1863" ht="81.75" customHeight="1" thickBot="1"/>
    <row r="1864" ht="81.75" customHeight="1" thickBot="1"/>
    <row r="1865" ht="81.75" customHeight="1" thickBot="1"/>
    <row r="1866" ht="81.75" customHeight="1" thickBot="1"/>
    <row r="1867" ht="81.75" customHeight="1" thickBot="1"/>
    <row r="1868" ht="81.75" customHeight="1" thickBot="1"/>
    <row r="1869" ht="81.75" customHeight="1" thickBot="1"/>
    <row r="1870" ht="81.75" customHeight="1" thickBot="1"/>
    <row r="1871" ht="81.75" customHeight="1" thickBot="1"/>
    <row r="1872" ht="81.75" customHeight="1" thickBot="1"/>
    <row r="1873" ht="81.75" customHeight="1" thickBot="1"/>
    <row r="1874" ht="81.75" customHeight="1" thickBot="1"/>
    <row r="1875" ht="81.75" customHeight="1" thickBot="1"/>
    <row r="1876" ht="81.75" customHeight="1" thickBot="1"/>
    <row r="1877" ht="81.75" customHeight="1" thickBot="1"/>
    <row r="1878" ht="81.75" customHeight="1" thickBot="1"/>
    <row r="1879" ht="81.75" customHeight="1" thickBot="1"/>
    <row r="1880" ht="81.75" customHeight="1" thickBot="1"/>
    <row r="1881" ht="81.75" customHeight="1" thickBot="1"/>
    <row r="1882" ht="81.75" customHeight="1" thickBot="1"/>
    <row r="1883" ht="81.75" customHeight="1" thickBot="1"/>
    <row r="1884" ht="81.75" customHeight="1" thickBot="1"/>
    <row r="1885" ht="81.75" customHeight="1" thickBot="1"/>
    <row r="1886" ht="81.75" customHeight="1" thickBot="1"/>
    <row r="1887" ht="81.75" customHeight="1" thickBot="1"/>
    <row r="1888" ht="81.75" customHeight="1" thickBot="1"/>
    <row r="1889" ht="81.75" customHeight="1" thickBot="1"/>
    <row r="1890" ht="81.75" customHeight="1" thickBot="1"/>
    <row r="1891" ht="81.75" customHeight="1" thickBot="1"/>
    <row r="1892" ht="81.75" customHeight="1" thickBot="1"/>
    <row r="1893" ht="81.75" customHeight="1" thickBot="1"/>
    <row r="1894" ht="81.75" customHeight="1" thickBot="1"/>
    <row r="1895" ht="81.75" customHeight="1" thickBot="1"/>
    <row r="1896" ht="81.75" customHeight="1" thickBot="1"/>
    <row r="1897" ht="81.75" customHeight="1" thickBot="1"/>
    <row r="1898" ht="81.75" customHeight="1" thickBot="1"/>
    <row r="1899" ht="81.75" customHeight="1" thickBot="1"/>
    <row r="1900" ht="81.75" customHeight="1" thickBot="1"/>
    <row r="1901" ht="81.75" customHeight="1" thickBot="1"/>
    <row r="1902" ht="81.75" customHeight="1" thickBot="1"/>
    <row r="1903" ht="81.75" customHeight="1" thickBot="1"/>
    <row r="1904" ht="81.75" customHeight="1" thickBot="1"/>
    <row r="1905" ht="81.75" customHeight="1" thickBot="1"/>
    <row r="1906" ht="81.75" customHeight="1" thickBot="1"/>
    <row r="1907" ht="81.75" customHeight="1" thickBot="1"/>
    <row r="1908" ht="81.75" customHeight="1" thickBot="1"/>
    <row r="1909" ht="81.75" customHeight="1" thickBot="1"/>
    <row r="1910" ht="81.75" customHeight="1" thickBot="1"/>
    <row r="1911" ht="81.75" customHeight="1" thickBot="1"/>
    <row r="1912" ht="81.75" customHeight="1" thickBot="1"/>
    <row r="1913" ht="81.75" customHeight="1" thickBot="1"/>
    <row r="1914" ht="81.75" customHeight="1" thickBot="1"/>
    <row r="1915" ht="81.75" customHeight="1" thickBot="1"/>
    <row r="1916" ht="81.75" customHeight="1" thickBot="1"/>
    <row r="1917" ht="81.75" customHeight="1" thickBot="1"/>
    <row r="1918" ht="81.75" customHeight="1" thickBot="1"/>
    <row r="1919" ht="81.75" customHeight="1" thickBot="1"/>
    <row r="1920" ht="81.75" customHeight="1" thickBot="1"/>
    <row r="1921" ht="81.75" customHeight="1" thickBot="1"/>
    <row r="1922" ht="81.75" customHeight="1" thickBot="1"/>
    <row r="1923" ht="81.75" customHeight="1" thickBot="1"/>
    <row r="1924" ht="81.75" customHeight="1" thickBot="1"/>
    <row r="1925" ht="81.75" customHeight="1" thickBot="1"/>
    <row r="1926" ht="81.75" customHeight="1" thickBot="1"/>
    <row r="1927" ht="81.75" customHeight="1" thickBot="1"/>
    <row r="1928" ht="81.75" customHeight="1" thickBot="1"/>
    <row r="1929" ht="81.75" customHeight="1" thickBot="1"/>
    <row r="1930" ht="81.75" customHeight="1" thickBot="1"/>
    <row r="1931" ht="81.75" customHeight="1" thickBot="1"/>
    <row r="1932" ht="81.75" customHeight="1" thickBot="1"/>
    <row r="1933" ht="81.75" customHeight="1" thickBot="1"/>
    <row r="1934" ht="81.75" customHeight="1" thickBot="1"/>
    <row r="1935" ht="81.75" customHeight="1" thickBot="1"/>
    <row r="1936" ht="81.75" customHeight="1" thickBot="1"/>
    <row r="1937" ht="81.75" customHeight="1" thickBot="1"/>
    <row r="1938" ht="81.75" customHeight="1" thickBot="1"/>
    <row r="1939" ht="81.75" customHeight="1" thickBot="1"/>
    <row r="1940" ht="81.75" customHeight="1" thickBot="1"/>
    <row r="1941" ht="81.75" customHeight="1" thickBot="1"/>
    <row r="1942" ht="81.75" customHeight="1" thickBot="1"/>
    <row r="1943" ht="81.75" customHeight="1" thickBot="1"/>
    <row r="1944" ht="81.75" customHeight="1" thickBot="1"/>
    <row r="1945" ht="81.75" customHeight="1" thickBot="1"/>
    <row r="1946" ht="81.75" customHeight="1" thickBot="1"/>
    <row r="1947" ht="81.75" customHeight="1" thickBot="1"/>
    <row r="1948" ht="81.75" customHeight="1" thickBot="1"/>
    <row r="1949" ht="81.75" customHeight="1" thickBot="1"/>
    <row r="1950" ht="81.75" customHeight="1" thickBot="1"/>
    <row r="1951" ht="81.75" customHeight="1" thickBot="1"/>
    <row r="1952" ht="81.75" customHeight="1" thickBot="1"/>
    <row r="1953" ht="81.75" customHeight="1" thickBot="1"/>
    <row r="1954" ht="81.75" customHeight="1" thickBot="1"/>
    <row r="1955" ht="81.75" customHeight="1" thickBot="1"/>
    <row r="1956" ht="81.75" customHeight="1" thickBot="1"/>
    <row r="1957" ht="81.75" customHeight="1" thickBot="1"/>
    <row r="1958" ht="81.75" customHeight="1" thickBot="1"/>
    <row r="1959" ht="81.75" customHeight="1" thickBot="1"/>
    <row r="1960" ht="81.75" customHeight="1" thickBot="1"/>
    <row r="1961" ht="81.75" customHeight="1" thickBot="1"/>
    <row r="1962" ht="81.75" customHeight="1" thickBot="1"/>
    <row r="1963" ht="81.75" customHeight="1" thickBot="1"/>
    <row r="1964" ht="81.75" customHeight="1" thickBot="1"/>
    <row r="1965" ht="81.75" customHeight="1" thickBot="1"/>
    <row r="1966" ht="81.75" customHeight="1" thickBot="1"/>
    <row r="1967" ht="81.75" customHeight="1" thickBot="1"/>
    <row r="1968" ht="81.75" customHeight="1" thickBot="1"/>
    <row r="1969" ht="81.75" customHeight="1" thickBot="1"/>
    <row r="1970" ht="81.75" customHeight="1" thickBot="1"/>
    <row r="1971" ht="81.75" customHeight="1" thickBot="1"/>
    <row r="1972" ht="81.75" customHeight="1" thickBot="1"/>
    <row r="1973" ht="81.75" customHeight="1" thickBot="1"/>
    <row r="1974" ht="81.75" customHeight="1" thickBot="1"/>
    <row r="1975" ht="81.75" customHeight="1" thickBot="1"/>
    <row r="1976" ht="81.75" customHeight="1" thickBot="1"/>
    <row r="1977" ht="81.75" customHeight="1" thickBot="1"/>
    <row r="1978" ht="81.75" customHeight="1" thickBot="1"/>
    <row r="1979" ht="81.75" customHeight="1" thickBot="1"/>
    <row r="1980" ht="81.75" customHeight="1" thickBot="1"/>
    <row r="1981" ht="81.75" customHeight="1" thickBot="1"/>
    <row r="1982" ht="81.75" customHeight="1" thickBot="1"/>
    <row r="1983" ht="81.75" customHeight="1" thickBot="1"/>
    <row r="1984" ht="81.75" customHeight="1" thickBot="1"/>
    <row r="1985" ht="81.75" customHeight="1" thickBot="1"/>
    <row r="1986" ht="81.75" customHeight="1" thickBot="1"/>
    <row r="1987" ht="81.75" customHeight="1" thickBot="1"/>
    <row r="1988" ht="81.75" customHeight="1" thickBot="1"/>
    <row r="1989" ht="81.75" customHeight="1" thickBot="1"/>
    <row r="1990" ht="81.75" customHeight="1" thickBot="1"/>
    <row r="1991" ht="81.75" customHeight="1" thickBot="1"/>
    <row r="1992" ht="81.75" customHeight="1" thickBot="1"/>
    <row r="1993" ht="81.75" customHeight="1" thickBot="1"/>
    <row r="1994" ht="81.75" customHeight="1" thickBot="1"/>
    <row r="1995" ht="81.75" customHeight="1" thickBot="1"/>
    <row r="1996" ht="81.75" customHeight="1" thickBot="1"/>
    <row r="1997" ht="81.75" customHeight="1" thickBot="1"/>
    <row r="1998" ht="81.75" customHeight="1" thickBot="1"/>
    <row r="1999" ht="81.75" customHeight="1" thickBot="1"/>
    <row r="2000" ht="81.75" customHeight="1" thickBot="1"/>
    <row r="2001" ht="81.75" customHeight="1" thickBot="1"/>
    <row r="2002" ht="81.75" customHeight="1" thickBot="1"/>
    <row r="2003" ht="81.75" customHeight="1" thickBot="1"/>
    <row r="2004" ht="81.75" customHeight="1" thickBot="1"/>
    <row r="2005" ht="81.75" customHeight="1" thickBot="1"/>
    <row r="2006" ht="81.75" customHeight="1" thickBot="1"/>
    <row r="2007" ht="81.75" customHeight="1" thickBot="1"/>
    <row r="2008" ht="81.75" customHeight="1" thickBot="1"/>
    <row r="2009" ht="81.75" customHeight="1" thickBot="1"/>
    <row r="2010" ht="81.75" customHeight="1" thickBot="1"/>
    <row r="2011" ht="81.75" customHeight="1" thickBot="1"/>
    <row r="2012" ht="81.75" customHeight="1" thickBot="1"/>
    <row r="2013" ht="81.75" customHeight="1" thickBot="1"/>
    <row r="2014" ht="81.75" customHeight="1" thickBot="1"/>
    <row r="2015" ht="81.75" customHeight="1" thickBot="1"/>
    <row r="2016" ht="81.75" customHeight="1" thickBot="1"/>
    <row r="2017" ht="81.75" customHeight="1" thickBot="1"/>
    <row r="2018" ht="81.75" customHeight="1" thickBot="1"/>
    <row r="2019" ht="81.75" customHeight="1" thickBot="1"/>
    <row r="2020" ht="81.75" customHeight="1" thickBot="1"/>
    <row r="2021" ht="81.75" customHeight="1" thickBot="1"/>
    <row r="2022" ht="81.75" customHeight="1" thickBot="1"/>
    <row r="2023" ht="81.75" customHeight="1" thickBot="1"/>
    <row r="2024" ht="81.75" customHeight="1" thickBot="1"/>
    <row r="2025" ht="81.75" customHeight="1" thickBot="1"/>
    <row r="2026" ht="81.75" customHeight="1" thickBot="1"/>
    <row r="2027" ht="81.75" customHeight="1" thickBot="1"/>
    <row r="2028" ht="81.75" customHeight="1" thickBot="1"/>
    <row r="2029" ht="81.75" customHeight="1" thickBot="1"/>
    <row r="2030" ht="81.75" customHeight="1" thickBot="1"/>
    <row r="2031" ht="81.75" customHeight="1" thickBot="1"/>
    <row r="2032" ht="81.75" customHeight="1" thickBot="1"/>
    <row r="2033" ht="81.75" customHeight="1" thickBot="1"/>
    <row r="2034" ht="81.75" customHeight="1" thickBot="1"/>
    <row r="2035" ht="81.75" customHeight="1" thickBot="1"/>
    <row r="2036" ht="81.75" customHeight="1" thickBot="1"/>
    <row r="2037" ht="81.75" customHeight="1" thickBot="1"/>
    <row r="2038" ht="81.75" customHeight="1" thickBot="1"/>
    <row r="2039" ht="81.75" customHeight="1" thickBot="1"/>
    <row r="2040" ht="81.75" customHeight="1" thickBot="1"/>
    <row r="2041" ht="81.75" customHeight="1" thickBot="1"/>
    <row r="2042" ht="81.75" customHeight="1" thickBot="1"/>
    <row r="2043" ht="81.75" customHeight="1" thickBot="1"/>
    <row r="2044" ht="81.75" customHeight="1" thickBot="1"/>
    <row r="2045" ht="81.75" customHeight="1" thickBot="1"/>
    <row r="2046" ht="81.75" customHeight="1" thickBot="1"/>
    <row r="2047" ht="81.75" customHeight="1" thickBot="1"/>
    <row r="2048" ht="81.75" customHeight="1" thickBot="1"/>
    <row r="2049" ht="81.75" customHeight="1" thickBot="1"/>
    <row r="2050" ht="81.75" customHeight="1" thickBot="1"/>
    <row r="2051" ht="81.75" customHeight="1" thickBot="1"/>
    <row r="2052" ht="81.75" customHeight="1" thickBot="1"/>
    <row r="2053" ht="81.75" customHeight="1" thickBot="1"/>
    <row r="2054" ht="81.75" customHeight="1" thickBot="1"/>
    <row r="2055" ht="81.75" customHeight="1" thickBot="1"/>
    <row r="2056" ht="81.75" customHeight="1" thickBot="1"/>
    <row r="2057" ht="81.75" customHeight="1" thickBot="1"/>
    <row r="2058" ht="81.75" customHeight="1" thickBot="1"/>
    <row r="2059" ht="81.75" customHeight="1" thickBot="1"/>
    <row r="2060" ht="81.75" customHeight="1" thickBot="1"/>
    <row r="2061" ht="81.75" customHeight="1" thickBot="1"/>
    <row r="2062" ht="81.75" customHeight="1" thickBot="1"/>
    <row r="2063" ht="81.75" customHeight="1" thickBot="1"/>
    <row r="2064" ht="81.75" customHeight="1" thickBot="1"/>
    <row r="2065" ht="81.75" customHeight="1" thickBot="1"/>
    <row r="2066" ht="81.75" customHeight="1" thickBot="1"/>
    <row r="2067" ht="81.75" customHeight="1" thickBot="1"/>
    <row r="2068" ht="81.75" customHeight="1" thickBot="1"/>
    <row r="2069" ht="81.75" customHeight="1" thickBot="1"/>
    <row r="2070" ht="81.75" customHeight="1" thickBot="1"/>
    <row r="2071" ht="81.75" customHeight="1" thickBot="1"/>
    <row r="2072" ht="81.75" customHeight="1" thickBot="1"/>
    <row r="2073" ht="81.75" customHeight="1" thickBot="1"/>
    <row r="2074" ht="81.75" customHeight="1" thickBot="1"/>
    <row r="2075" ht="81.75" customHeight="1" thickBot="1"/>
    <row r="2076" ht="81.75" customHeight="1" thickBot="1"/>
    <row r="2077" ht="81.75" customHeight="1" thickBot="1"/>
    <row r="2078" ht="81.75" customHeight="1" thickBot="1"/>
    <row r="2079" ht="81.75" customHeight="1" thickBot="1"/>
    <row r="2080" ht="81.75" customHeight="1" thickBot="1"/>
    <row r="2081" ht="81.75" customHeight="1" thickBot="1"/>
    <row r="2082" ht="81.75" customHeight="1" thickBot="1"/>
    <row r="2083" ht="81.75" customHeight="1" thickBot="1"/>
    <row r="2084" ht="81.75" customHeight="1" thickBot="1"/>
    <row r="2085" ht="81.75" customHeight="1" thickBot="1"/>
    <row r="2086" ht="81.75" customHeight="1" thickBot="1"/>
    <row r="2087" ht="81.75" customHeight="1" thickBot="1"/>
    <row r="2088" ht="81.75" customHeight="1" thickBot="1"/>
    <row r="2089" ht="81.75" customHeight="1" thickBot="1"/>
    <row r="2090" ht="81.75" customHeight="1" thickBot="1"/>
    <row r="2091" ht="81.75" customHeight="1" thickBot="1"/>
    <row r="2092" ht="81.75" customHeight="1" thickBot="1"/>
    <row r="2093" ht="81.75" customHeight="1" thickBot="1"/>
    <row r="2094" ht="81.75" customHeight="1" thickBot="1"/>
    <row r="2095" ht="81.75" customHeight="1" thickBot="1"/>
    <row r="2096" ht="81.75" customHeight="1" thickBot="1"/>
    <row r="2097" ht="81.75" customHeight="1" thickBot="1"/>
    <row r="2098" ht="81.75" customHeight="1" thickBot="1"/>
    <row r="2099" ht="81.75" customHeight="1" thickBot="1"/>
    <row r="2100" ht="81.75" customHeight="1" thickBot="1"/>
    <row r="2101" ht="81.75" customHeight="1" thickBot="1"/>
    <row r="2102" ht="81.75" customHeight="1" thickBot="1"/>
    <row r="2103" ht="81.75" customHeight="1" thickBot="1"/>
    <row r="2104" ht="81.75" customHeight="1" thickBot="1"/>
    <row r="2105" ht="81.75" customHeight="1" thickBot="1"/>
    <row r="2106" ht="81.75" customHeight="1" thickBot="1"/>
    <row r="2107" ht="81.75" customHeight="1" thickBot="1"/>
    <row r="2108" ht="81.75" customHeight="1" thickBot="1"/>
    <row r="2109" ht="81.75" customHeight="1" thickBot="1"/>
    <row r="2110" ht="81.75" customHeight="1" thickBot="1"/>
    <row r="2111" ht="81.75" customHeight="1" thickBot="1"/>
    <row r="2112" ht="81.75" customHeight="1" thickBot="1"/>
    <row r="2113" ht="81.75" customHeight="1" thickBot="1"/>
    <row r="2114" ht="81.75" customHeight="1" thickBot="1"/>
    <row r="2115" ht="81.75" customHeight="1" thickBot="1"/>
    <row r="2116" ht="81.75" customHeight="1" thickBot="1"/>
    <row r="2117" ht="81.75" customHeight="1" thickBot="1"/>
    <row r="2118" ht="81.75" customHeight="1" thickBot="1"/>
    <row r="2119" ht="81.75" customHeight="1" thickBot="1"/>
    <row r="2120" ht="81.75" customHeight="1" thickBot="1"/>
    <row r="2121" ht="81.75" customHeight="1" thickBot="1"/>
    <row r="2122" ht="81.75" customHeight="1" thickBot="1"/>
    <row r="2123" ht="81.75" customHeight="1" thickBot="1"/>
    <row r="2124" ht="81.75" customHeight="1" thickBot="1"/>
    <row r="2125" ht="81.75" customHeight="1" thickBot="1"/>
    <row r="2126" ht="81.75" customHeight="1" thickBot="1"/>
    <row r="2127" ht="81.75" customHeight="1" thickBot="1"/>
    <row r="2128" ht="81.75" customHeight="1" thickBot="1"/>
    <row r="2129" ht="81.75" customHeight="1" thickBot="1"/>
    <row r="2130" ht="81.75" customHeight="1" thickBot="1"/>
    <row r="2131" ht="81.75" customHeight="1" thickBot="1"/>
    <row r="2132" ht="81.75" customHeight="1" thickBot="1"/>
    <row r="2133" ht="81.75" customHeight="1" thickBot="1"/>
    <row r="2134" ht="81.75" customHeight="1" thickBot="1"/>
    <row r="2135" ht="81.75" customHeight="1" thickBot="1"/>
    <row r="2136" ht="81.75" customHeight="1" thickBot="1"/>
    <row r="2137" ht="81.75" customHeight="1" thickBot="1"/>
    <row r="2138" ht="81.75" customHeight="1" thickBot="1"/>
    <row r="2139" ht="81.75" customHeight="1" thickBot="1"/>
    <row r="2140" ht="81.75" customHeight="1" thickBot="1"/>
    <row r="2141" ht="81.75" customHeight="1" thickBot="1"/>
    <row r="2142" ht="81.75" customHeight="1" thickBot="1"/>
    <row r="2143" ht="81.75" customHeight="1" thickBot="1"/>
    <row r="2144" ht="81.75" customHeight="1" thickBot="1"/>
    <row r="2145" ht="81.75" customHeight="1" thickBot="1"/>
    <row r="2146" ht="81.75" customHeight="1" thickBot="1"/>
    <row r="2147" ht="81.75" customHeight="1" thickBot="1"/>
    <row r="2148" ht="81.75" customHeight="1" thickBot="1"/>
    <row r="2149" ht="81.75" customHeight="1" thickBot="1"/>
    <row r="2150" ht="81.75" customHeight="1" thickBot="1"/>
    <row r="2151" ht="81.75" customHeight="1" thickBot="1"/>
    <row r="2152" ht="81.75" customHeight="1" thickBot="1"/>
    <row r="2153" ht="81.75" customHeight="1" thickBot="1"/>
    <row r="2154" ht="81.75" customHeight="1" thickBot="1"/>
    <row r="2155" ht="81.75" customHeight="1" thickBot="1"/>
    <row r="2156" ht="81.75" customHeight="1" thickBot="1"/>
    <row r="2157" ht="81.75" customHeight="1" thickBot="1"/>
    <row r="2158" ht="81.75" customHeight="1" thickBot="1"/>
    <row r="2159" ht="81.75" customHeight="1" thickBot="1"/>
    <row r="2160" ht="81.75" customHeight="1" thickBot="1"/>
    <row r="2161" ht="81.75" customHeight="1" thickBot="1"/>
    <row r="2162" ht="81.75" customHeight="1" thickBot="1"/>
    <row r="2163" ht="81.75" customHeight="1" thickBot="1"/>
    <row r="2164" ht="81.75" customHeight="1" thickBot="1"/>
    <row r="2165" ht="81.75" customHeight="1" thickBot="1"/>
    <row r="2166" ht="81.75" customHeight="1" thickBot="1"/>
    <row r="2167" ht="81.75" customHeight="1" thickBot="1"/>
    <row r="2168" ht="81.75" customHeight="1" thickBot="1"/>
    <row r="2169" ht="81.75" customHeight="1" thickBot="1"/>
    <row r="2170" ht="81.75" customHeight="1" thickBot="1"/>
    <row r="2171" ht="81.75" customHeight="1" thickBot="1"/>
    <row r="2172" ht="81.75" customHeight="1" thickBot="1"/>
    <row r="2173" ht="81.75" customHeight="1" thickBot="1"/>
    <row r="2174" ht="81.75" customHeight="1" thickBot="1"/>
    <row r="2175" ht="81.75" customHeight="1" thickBot="1"/>
    <row r="2176" ht="81.75" customHeight="1" thickBot="1"/>
    <row r="2177" ht="81.75" customHeight="1" thickBot="1"/>
    <row r="2178" ht="81.75" customHeight="1" thickBot="1"/>
    <row r="2179" ht="81.75" customHeight="1" thickBot="1"/>
    <row r="2180" ht="81.75" customHeight="1" thickBot="1"/>
    <row r="2181" ht="81.75" customHeight="1" thickBot="1"/>
    <row r="2182" ht="81.75" customHeight="1" thickBot="1"/>
    <row r="2183" ht="81.75" customHeight="1" thickBot="1"/>
    <row r="2184" ht="81.75" customHeight="1" thickBot="1"/>
    <row r="2185" ht="81.75" customHeight="1" thickBot="1"/>
    <row r="2186" ht="81.75" customHeight="1" thickBot="1"/>
    <row r="2187" ht="81.75" customHeight="1" thickBot="1"/>
    <row r="2188" ht="81.75" customHeight="1" thickBot="1"/>
    <row r="2189" ht="81.75" customHeight="1" thickBot="1"/>
    <row r="2190" ht="81.75" customHeight="1" thickBot="1"/>
    <row r="2191" ht="81.75" customHeight="1" thickBot="1"/>
    <row r="2192" ht="81.75" customHeight="1" thickBot="1"/>
    <row r="2193" ht="81.75" customHeight="1" thickBot="1"/>
    <row r="2194" ht="81.75" customHeight="1" thickBot="1"/>
    <row r="2195" ht="81.75" customHeight="1" thickBot="1"/>
    <row r="2196" ht="81.75" customHeight="1" thickBot="1"/>
    <row r="2197" ht="81.75" customHeight="1" thickBot="1"/>
    <row r="2198" ht="81.75" customHeight="1" thickBot="1"/>
    <row r="2199" ht="81.75" customHeight="1" thickBot="1"/>
    <row r="2200" ht="81.75" customHeight="1" thickBot="1"/>
    <row r="2201" ht="81.75" customHeight="1" thickBot="1"/>
    <row r="2202" ht="81.75" customHeight="1" thickBot="1"/>
    <row r="2203" ht="81.75" customHeight="1" thickBot="1"/>
    <row r="2204" ht="81.75" customHeight="1" thickBot="1"/>
    <row r="2205" ht="81.75" customHeight="1" thickBot="1"/>
    <row r="2206" ht="81.75" customHeight="1" thickBot="1"/>
    <row r="2207" ht="81.75" customHeight="1" thickBot="1"/>
    <row r="2208" ht="81.75" customHeight="1" thickBot="1"/>
    <row r="2209" ht="81.75" customHeight="1" thickBot="1"/>
    <row r="2210" ht="81.75" customHeight="1" thickBot="1"/>
    <row r="2211" ht="81.75" customHeight="1" thickBot="1"/>
    <row r="2212" ht="81.75" customHeight="1" thickBot="1"/>
    <row r="2213" ht="81.75" customHeight="1" thickBot="1"/>
    <row r="2214" ht="81.75" customHeight="1" thickBot="1"/>
    <row r="2215" ht="81.75" customHeight="1" thickBot="1"/>
    <row r="2216" ht="81.75" customHeight="1" thickBot="1"/>
    <row r="2217" ht="81.75" customHeight="1" thickBot="1"/>
    <row r="2218" ht="81.75" customHeight="1" thickBot="1"/>
    <row r="2219" ht="81.75" customHeight="1" thickBot="1"/>
    <row r="2220" ht="81.75" customHeight="1" thickBot="1"/>
    <row r="2221" ht="81.75" customHeight="1" thickBot="1"/>
    <row r="2222" ht="81.75" customHeight="1" thickBot="1"/>
    <row r="2223" ht="81.75" customHeight="1" thickBot="1"/>
    <row r="2224" ht="81.75" customHeight="1" thickBot="1"/>
    <row r="2225" ht="81.75" customHeight="1" thickBot="1"/>
    <row r="2226" ht="81.75" customHeight="1" thickBot="1"/>
    <row r="2227" ht="81.75" customHeight="1" thickBot="1"/>
    <row r="2228" ht="81.75" customHeight="1" thickBot="1"/>
    <row r="2229" ht="81.75" customHeight="1" thickBot="1"/>
    <row r="2230" ht="81.75" customHeight="1" thickBot="1"/>
    <row r="2231" ht="81.75" customHeight="1" thickBot="1"/>
    <row r="2232" ht="81.75" customHeight="1" thickBot="1"/>
    <row r="2233" ht="81.75" customHeight="1" thickBot="1"/>
    <row r="2234" ht="81.75" customHeight="1" thickBot="1"/>
    <row r="2235" ht="81.75" customHeight="1" thickBot="1"/>
    <row r="2236" ht="81.75" customHeight="1" thickBot="1"/>
    <row r="2237" ht="81.75" customHeight="1" thickBot="1"/>
    <row r="2238" ht="81.75" customHeight="1" thickBot="1"/>
    <row r="2239" ht="81.75" customHeight="1" thickBot="1"/>
    <row r="2240" ht="81.75" customHeight="1" thickBot="1"/>
    <row r="2241" ht="81.75" customHeight="1" thickBot="1"/>
    <row r="2242" ht="81.75" customHeight="1" thickBot="1"/>
    <row r="2243" ht="81.75" customHeight="1" thickBot="1"/>
    <row r="2244" ht="81.75" customHeight="1" thickBot="1"/>
    <row r="2245" ht="81.75" customHeight="1" thickBot="1"/>
    <row r="2246" ht="81.75" customHeight="1" thickBot="1"/>
    <row r="2247" ht="81.75" customHeight="1" thickBot="1"/>
    <row r="2248" ht="81.75" customHeight="1" thickBot="1"/>
    <row r="2249" ht="81.75" customHeight="1" thickBot="1"/>
    <row r="2250" ht="81.75" customHeight="1" thickBot="1"/>
    <row r="2251" ht="81.75" customHeight="1" thickBot="1"/>
    <row r="2252" ht="81.75" customHeight="1" thickBot="1"/>
    <row r="2253" ht="81.75" customHeight="1" thickBot="1"/>
    <row r="2254" ht="81.75" customHeight="1" thickBot="1"/>
    <row r="2255" ht="81.75" customHeight="1" thickBot="1"/>
    <row r="2256" ht="81.75" customHeight="1" thickBot="1"/>
    <row r="2257" ht="81.75" customHeight="1" thickBot="1"/>
    <row r="2258" ht="81.75" customHeight="1" thickBot="1"/>
    <row r="2259" ht="81.75" customHeight="1" thickBot="1"/>
    <row r="2260" ht="81.75" customHeight="1" thickBot="1"/>
    <row r="2261" ht="81.75" customHeight="1" thickBot="1"/>
    <row r="2262" ht="81.75" customHeight="1" thickBot="1"/>
    <row r="2263" ht="81.75" customHeight="1" thickBot="1"/>
    <row r="2264" ht="81.75" customHeight="1" thickBot="1"/>
    <row r="2265" ht="81.75" customHeight="1" thickBot="1"/>
    <row r="2266" ht="81.75" customHeight="1" thickBot="1"/>
    <row r="2267" ht="81.75" customHeight="1" thickBot="1"/>
    <row r="2268" ht="81.75" customHeight="1" thickBot="1"/>
    <row r="2269" ht="81.75" customHeight="1" thickBot="1"/>
    <row r="2270" ht="81.75" customHeight="1" thickBot="1"/>
    <row r="2271" ht="81.75" customHeight="1" thickBot="1"/>
    <row r="2272" ht="81.75" customHeight="1" thickBot="1"/>
    <row r="2273" ht="81.75" customHeight="1" thickBot="1"/>
    <row r="2274" ht="81.75" customHeight="1" thickBot="1"/>
    <row r="2275" ht="81.75" customHeight="1" thickBot="1"/>
    <row r="2276" ht="81.75" customHeight="1" thickBot="1"/>
    <row r="2277" ht="81.75" customHeight="1" thickBot="1"/>
    <row r="2278" ht="81.75" customHeight="1" thickBot="1"/>
    <row r="2279" ht="81.75" customHeight="1" thickBot="1"/>
    <row r="2280" ht="81.75" customHeight="1" thickBot="1"/>
    <row r="2281" ht="81.75" customHeight="1" thickBot="1"/>
    <row r="2282" ht="81.75" customHeight="1" thickBot="1"/>
    <row r="2283" ht="81.75" customHeight="1" thickBot="1"/>
    <row r="2284" ht="81.75" customHeight="1" thickBot="1"/>
    <row r="2285" ht="81.75" customHeight="1" thickBot="1"/>
    <row r="2286" ht="81.75" customHeight="1" thickBot="1"/>
    <row r="2287" ht="81.75" customHeight="1" thickBot="1"/>
    <row r="2288" ht="81.75" customHeight="1" thickBot="1"/>
    <row r="2289" ht="81.75" customHeight="1" thickBot="1"/>
    <row r="2290" ht="81.75" customHeight="1" thickBot="1"/>
    <row r="2291" ht="81.75" customHeight="1" thickBot="1"/>
    <row r="2292" ht="81.75" customHeight="1" thickBot="1"/>
    <row r="2293" ht="81.75" customHeight="1" thickBot="1"/>
    <row r="2294" ht="81.75" customHeight="1" thickBot="1"/>
    <row r="2295" ht="81.75" customHeight="1" thickBot="1"/>
    <row r="2296" ht="81.75" customHeight="1" thickBot="1"/>
    <row r="2297" ht="81.75" customHeight="1" thickBot="1"/>
    <row r="2298" ht="81.75" customHeight="1" thickBot="1"/>
    <row r="2299" ht="81.75" customHeight="1" thickBot="1"/>
    <row r="2300" ht="81.75" customHeight="1" thickBot="1"/>
    <row r="2301" ht="81.75" customHeight="1" thickBot="1"/>
    <row r="2302" ht="81.75" customHeight="1" thickBot="1"/>
    <row r="2303" ht="81.75" customHeight="1" thickBot="1"/>
    <row r="2304" ht="81.75" customHeight="1" thickBot="1"/>
    <row r="2305" ht="81.75" customHeight="1" thickBot="1"/>
    <row r="2306" ht="81.75" customHeight="1" thickBot="1"/>
    <row r="2307" ht="81.75" customHeight="1" thickBot="1"/>
    <row r="2308" ht="81.75" customHeight="1" thickBot="1"/>
    <row r="2309" ht="81.75" customHeight="1" thickBot="1"/>
    <row r="2310" ht="81.75" customHeight="1" thickBot="1"/>
    <row r="2311" ht="81.75" customHeight="1" thickBot="1"/>
    <row r="2312" ht="81.75" customHeight="1" thickBot="1"/>
    <row r="2313" ht="81.75" customHeight="1" thickBot="1"/>
    <row r="2314" ht="81.75" customHeight="1" thickBot="1"/>
    <row r="2315" ht="81.75" customHeight="1" thickBot="1"/>
    <row r="2316" ht="81.75" customHeight="1" thickBot="1"/>
    <row r="2317" ht="81.75" customHeight="1" thickBot="1"/>
    <row r="2318" ht="81.75" customHeight="1" thickBot="1"/>
    <row r="2319" ht="81.75" customHeight="1" thickBot="1"/>
    <row r="2320" ht="81.75" customHeight="1" thickBot="1"/>
    <row r="2321" ht="81.75" customHeight="1" thickBot="1"/>
    <row r="2322" ht="81.75" customHeight="1" thickBot="1"/>
    <row r="2323" ht="81.75" customHeight="1" thickBot="1"/>
    <row r="2324" ht="81.75" customHeight="1" thickBot="1"/>
    <row r="2325" ht="81.75" customHeight="1" thickBot="1"/>
    <row r="2326" ht="81.75" customHeight="1" thickBot="1"/>
    <row r="2327" ht="81.75" customHeight="1" thickBot="1"/>
    <row r="2328" ht="81.75" customHeight="1" thickBot="1"/>
    <row r="2329" ht="81.75" customHeight="1" thickBot="1"/>
    <row r="2330" ht="81.75" customHeight="1" thickBot="1"/>
    <row r="2331" ht="81.75" customHeight="1" thickBot="1"/>
    <row r="2332" ht="81.75" customHeight="1" thickBot="1"/>
    <row r="2333" ht="81.75" customHeight="1" thickBot="1"/>
    <row r="2334" ht="81.75" customHeight="1" thickBot="1"/>
    <row r="2335" ht="81.75" customHeight="1" thickBot="1"/>
    <row r="2336" ht="81.75" customHeight="1" thickBot="1"/>
    <row r="2337" ht="81.75" customHeight="1" thickBot="1"/>
    <row r="2338" ht="81.75" customHeight="1" thickBot="1"/>
    <row r="2339" ht="81.75" customHeight="1" thickBot="1"/>
    <row r="2340" ht="81.75" customHeight="1" thickBot="1"/>
    <row r="2341" ht="81.75" customHeight="1" thickBot="1"/>
    <row r="2342" ht="81.75" customHeight="1" thickBot="1"/>
    <row r="2343" ht="81.75" customHeight="1" thickBot="1"/>
    <row r="2344" ht="81.75" customHeight="1" thickBot="1"/>
    <row r="2345" ht="81.75" customHeight="1" thickBot="1"/>
    <row r="2346" ht="81.75" customHeight="1" thickBot="1"/>
    <row r="2347" ht="81.75" customHeight="1" thickBot="1"/>
    <row r="2348" ht="81.75" customHeight="1" thickBot="1"/>
    <row r="2349" ht="81.75" customHeight="1" thickBot="1"/>
    <row r="2350" ht="81.75" customHeight="1" thickBot="1"/>
    <row r="2351" ht="81.75" customHeight="1" thickBot="1"/>
    <row r="2352" ht="81.75" customHeight="1" thickBot="1"/>
    <row r="2353" ht="81.75" customHeight="1" thickBot="1"/>
    <row r="2354" ht="81.75" customHeight="1" thickBot="1"/>
    <row r="2355" ht="81.75" customHeight="1" thickBot="1"/>
    <row r="2356" ht="81.75" customHeight="1" thickBot="1"/>
    <row r="2357" ht="81.75" customHeight="1" thickBot="1"/>
    <row r="2358" ht="81.75" customHeight="1" thickBot="1"/>
    <row r="2359" ht="81.75" customHeight="1" thickBot="1"/>
    <row r="2360" ht="81.75" customHeight="1" thickBot="1"/>
    <row r="2361" ht="81.75" customHeight="1" thickBot="1"/>
    <row r="2362" ht="81.75" customHeight="1" thickBot="1"/>
    <row r="2363" ht="81.75" customHeight="1" thickBot="1"/>
    <row r="2364" ht="81.75" customHeight="1" thickBot="1"/>
    <row r="2365" ht="81.75" customHeight="1" thickBot="1"/>
    <row r="2366" ht="81.75" customHeight="1" thickBot="1"/>
    <row r="2367" ht="81.75" customHeight="1" thickBot="1"/>
    <row r="2368" ht="81.75" customHeight="1" thickBot="1"/>
    <row r="2369" ht="81.75" customHeight="1" thickBot="1"/>
    <row r="2370" ht="81.75" customHeight="1" thickBot="1"/>
    <row r="2371" ht="81.75" customHeight="1" thickBot="1"/>
    <row r="2372" ht="81.75" customHeight="1" thickBot="1"/>
    <row r="2373" ht="81.75" customHeight="1" thickBot="1"/>
    <row r="2374" ht="81.75" customHeight="1" thickBot="1"/>
    <row r="2375" ht="81.75" customHeight="1" thickBot="1"/>
    <row r="2376" ht="81.75" customHeight="1" thickBot="1"/>
    <row r="2377" ht="81.75" customHeight="1" thickBot="1"/>
    <row r="2378" ht="81.75" customHeight="1" thickBot="1"/>
    <row r="2379" ht="81.75" customHeight="1" thickBot="1"/>
    <row r="2380" ht="81.75" customHeight="1" thickBot="1"/>
    <row r="2381" ht="81.75" customHeight="1" thickBot="1"/>
    <row r="2382" ht="81.75" customHeight="1" thickBot="1"/>
    <row r="2383" ht="81.75" customHeight="1" thickBot="1"/>
    <row r="2384" ht="81.75" customHeight="1" thickBot="1"/>
    <row r="2385" ht="81.75" customHeight="1" thickBot="1"/>
    <row r="2386" ht="81.75" customHeight="1" thickBot="1"/>
    <row r="2387" ht="81.75" customHeight="1" thickBot="1"/>
    <row r="2388" ht="81.75" customHeight="1" thickBot="1"/>
    <row r="2389" ht="81.75" customHeight="1" thickBot="1"/>
    <row r="2390" ht="81.75" customHeight="1" thickBot="1"/>
    <row r="2391" ht="81.75" customHeight="1" thickBot="1"/>
    <row r="2392" ht="81.75" customHeight="1" thickBot="1"/>
    <row r="2393" ht="81.75" customHeight="1" thickBot="1"/>
    <row r="2394" ht="81.75" customHeight="1" thickBot="1"/>
    <row r="2395" ht="81.75" customHeight="1" thickBot="1"/>
    <row r="2396" ht="81.75" customHeight="1" thickBot="1"/>
    <row r="2397" ht="81.75" customHeight="1" thickBot="1"/>
    <row r="2398" ht="81.75" customHeight="1" thickBot="1"/>
    <row r="2399" ht="81.75" customHeight="1" thickBot="1"/>
    <row r="2400" ht="81.75" customHeight="1" thickBot="1"/>
    <row r="2401" ht="81.75" customHeight="1" thickBot="1"/>
    <row r="2402" ht="81.75" customHeight="1" thickBot="1"/>
    <row r="2403" ht="81.75" customHeight="1" thickBot="1"/>
    <row r="2404" ht="81.75" customHeight="1" thickBot="1"/>
    <row r="2405" ht="81.75" customHeight="1" thickBot="1"/>
    <row r="2406" ht="81.75" customHeight="1" thickBot="1"/>
    <row r="2407" ht="81.75" customHeight="1" thickBot="1"/>
    <row r="2408" ht="81.75" customHeight="1" thickBot="1"/>
    <row r="2409" ht="81.75" customHeight="1" thickBot="1"/>
    <row r="2410" ht="81.75" customHeight="1" thickBot="1"/>
    <row r="2411" ht="81.75" customHeight="1" thickBot="1"/>
    <row r="2412" ht="81.75" customHeight="1" thickBot="1"/>
    <row r="2413" ht="81.75" customHeight="1" thickBot="1"/>
    <row r="2414" ht="81.75" customHeight="1" thickBot="1"/>
    <row r="2415" ht="81.75" customHeight="1" thickBot="1"/>
    <row r="2416" ht="81.75" customHeight="1" thickBot="1"/>
    <row r="2417" ht="81.75" customHeight="1" thickBot="1"/>
    <row r="2418" ht="81.75" customHeight="1" thickBot="1"/>
    <row r="2419" ht="81.75" customHeight="1" thickBot="1"/>
    <row r="2420" ht="81.75" customHeight="1" thickBot="1"/>
    <row r="2421" ht="81.75" customHeight="1" thickBot="1"/>
    <row r="2422" ht="81.75" customHeight="1" thickBot="1"/>
    <row r="2423" ht="81.75" customHeight="1" thickBot="1"/>
    <row r="2424" ht="81.75" customHeight="1" thickBot="1"/>
    <row r="2425" ht="81.75" customHeight="1" thickBot="1"/>
    <row r="2426" ht="81.75" customHeight="1" thickBot="1"/>
    <row r="2427" ht="81.75" customHeight="1" thickBot="1"/>
    <row r="2428" ht="81.75" customHeight="1" thickBot="1"/>
    <row r="2429" ht="81.75" customHeight="1" thickBot="1"/>
    <row r="2430" ht="81.75" customHeight="1" thickBot="1"/>
    <row r="2431" ht="81.75" customHeight="1" thickBot="1"/>
    <row r="2432" ht="81.75" customHeight="1" thickBot="1"/>
    <row r="2433" ht="81.75" customHeight="1" thickBot="1"/>
    <row r="2434" ht="81.75" customHeight="1" thickBot="1"/>
    <row r="2435" ht="81.75" customHeight="1" thickBot="1"/>
    <row r="2436" ht="81.75" customHeight="1" thickBot="1"/>
    <row r="2437" ht="81.75" customHeight="1" thickBot="1"/>
    <row r="2438" ht="81.75" customHeight="1" thickBot="1"/>
    <row r="2439" ht="81.75" customHeight="1" thickBot="1"/>
    <row r="2440" ht="81.75" customHeight="1" thickBot="1"/>
    <row r="2441" ht="81.75" customHeight="1" thickBot="1"/>
    <row r="2442" ht="81.75" customHeight="1" thickBot="1"/>
    <row r="2443" ht="81.75" customHeight="1" thickBot="1"/>
    <row r="2444" ht="81.75" customHeight="1" thickBot="1"/>
    <row r="2445" ht="81.75" customHeight="1" thickBot="1"/>
    <row r="2446" ht="81.75" customHeight="1" thickBot="1"/>
    <row r="2447" ht="81.75" customHeight="1" thickBot="1"/>
    <row r="2448" ht="81.75" customHeight="1" thickBot="1"/>
    <row r="2449" ht="81.75" customHeight="1" thickBot="1"/>
    <row r="2450" ht="81.75" customHeight="1" thickBot="1"/>
    <row r="2451" ht="81.75" customHeight="1" thickBot="1"/>
    <row r="2452" ht="81.75" customHeight="1" thickBot="1"/>
    <row r="2453" ht="81.75" customHeight="1" thickBot="1"/>
    <row r="2454" ht="81.75" customHeight="1" thickBot="1"/>
    <row r="2455" ht="81.75" customHeight="1" thickBot="1"/>
    <row r="2456" ht="81.75" customHeight="1" thickBot="1"/>
    <row r="2457" ht="81.75" customHeight="1" thickBot="1"/>
    <row r="2458" ht="81.75" customHeight="1" thickBot="1"/>
    <row r="2459" ht="81.75" customHeight="1" thickBot="1"/>
    <row r="2460" ht="81.75" customHeight="1" thickBot="1"/>
    <row r="2461" ht="81.75" customHeight="1" thickBot="1"/>
    <row r="2462" ht="81.75" customHeight="1" thickBot="1"/>
    <row r="2463" ht="81.75" customHeight="1" thickBot="1"/>
    <row r="2464" ht="81.75" customHeight="1" thickBot="1"/>
    <row r="2465" ht="81.75" customHeight="1" thickBot="1"/>
    <row r="2466" ht="81.75" customHeight="1" thickBot="1"/>
    <row r="2467" ht="81.75" customHeight="1" thickBot="1"/>
    <row r="2468" ht="81.75" customHeight="1" thickBot="1"/>
    <row r="2469" ht="81.75" customHeight="1" thickBot="1"/>
    <row r="2470" ht="81.75" customHeight="1" thickBot="1"/>
    <row r="2471" ht="81.75" customHeight="1" thickBot="1"/>
    <row r="2472" ht="81.75" customHeight="1" thickBot="1"/>
    <row r="2473" ht="81.75" customHeight="1" thickBot="1"/>
    <row r="2474" ht="81.75" customHeight="1" thickBot="1"/>
    <row r="2475" ht="81.75" customHeight="1" thickBot="1"/>
    <row r="2476" ht="81.75" customHeight="1" thickBot="1"/>
    <row r="2477" ht="81.75" customHeight="1" thickBot="1"/>
    <row r="2478" ht="81.75" customHeight="1" thickBot="1"/>
    <row r="2479" ht="81.75" customHeight="1" thickBot="1"/>
    <row r="2480" ht="81.75" customHeight="1" thickBot="1"/>
    <row r="2481" ht="81.75" customHeight="1" thickBot="1"/>
    <row r="2482" ht="81.75" customHeight="1" thickBot="1"/>
    <row r="2483" ht="81.75" customHeight="1" thickBot="1"/>
    <row r="2484" ht="81.75" customHeight="1" thickBot="1"/>
    <row r="2485" ht="81.75" customHeight="1" thickBot="1"/>
    <row r="2486" ht="81.75" customHeight="1" thickBot="1"/>
    <row r="2487" ht="81.75" customHeight="1" thickBot="1"/>
    <row r="2488" ht="81.75" customHeight="1" thickBot="1"/>
    <row r="2489" ht="81.75" customHeight="1" thickBot="1"/>
    <row r="2490" ht="81.75" customHeight="1" thickBot="1"/>
    <row r="2491" ht="81.75" customHeight="1" thickBot="1"/>
    <row r="2492" ht="81.75" customHeight="1" thickBot="1"/>
    <row r="2493" ht="81.75" customHeight="1" thickBot="1"/>
    <row r="2494" ht="81.75" customHeight="1" thickBot="1"/>
    <row r="2495" ht="81.75" customHeight="1" thickBot="1"/>
    <row r="2496" ht="81.75" customHeight="1" thickBot="1"/>
    <row r="2497" ht="81.75" customHeight="1" thickBot="1"/>
    <row r="2498" ht="81.75" customHeight="1" thickBot="1"/>
    <row r="2499" ht="81.75" customHeight="1" thickBot="1"/>
    <row r="2500" ht="81.75" customHeight="1" thickBot="1"/>
    <row r="2501" ht="81.75" customHeight="1" thickBot="1"/>
    <row r="2502" ht="81.75" customHeight="1" thickBot="1"/>
    <row r="2503" ht="81.75" customHeight="1" thickBot="1"/>
    <row r="2504" ht="81.75" customHeight="1" thickBot="1"/>
    <row r="2505" ht="81.75" customHeight="1" thickBot="1"/>
    <row r="2506" ht="81.75" customHeight="1" thickBot="1"/>
    <row r="2507" ht="81.75" customHeight="1" thickBot="1"/>
    <row r="2508" ht="81.75" customHeight="1" thickBot="1"/>
    <row r="2509" ht="81.75" customHeight="1" thickBot="1"/>
    <row r="2510" ht="81.75" customHeight="1" thickBot="1"/>
    <row r="2511" ht="81.75" customHeight="1" thickBot="1"/>
    <row r="2512" ht="81.75" customHeight="1" thickBot="1"/>
    <row r="2513" ht="81.75" customHeight="1" thickBot="1"/>
    <row r="2514" ht="81.75" customHeight="1" thickBot="1"/>
    <row r="2515" ht="81.75" customHeight="1" thickBot="1"/>
    <row r="2516" ht="81.75" customHeight="1" thickBot="1"/>
    <row r="2517" ht="81.75" customHeight="1" thickBot="1"/>
    <row r="2518" ht="81.75" customHeight="1" thickBot="1"/>
    <row r="2519" ht="81.75" customHeight="1" thickBot="1"/>
    <row r="2520" ht="81.75" customHeight="1" thickBot="1"/>
    <row r="2521" ht="81.75" customHeight="1" thickBot="1"/>
    <row r="2522" ht="81.75" customHeight="1" thickBot="1"/>
    <row r="2523" ht="81.75" customHeight="1" thickBot="1"/>
    <row r="2524" ht="81.75" customHeight="1" thickBot="1"/>
    <row r="2525" ht="81.75" customHeight="1" thickBot="1"/>
    <row r="2526" ht="81.75" customHeight="1" thickBot="1"/>
    <row r="2527" ht="81.75" customHeight="1" thickBot="1"/>
    <row r="2528" ht="81.75" customHeight="1" thickBot="1"/>
    <row r="2529" ht="81.75" customHeight="1" thickBot="1"/>
    <row r="2530" ht="81.75" customHeight="1" thickBot="1"/>
    <row r="2531" ht="81.75" customHeight="1" thickBot="1"/>
    <row r="2532" ht="81.75" customHeight="1" thickBot="1"/>
    <row r="2533" ht="81.75" customHeight="1" thickBot="1"/>
    <row r="2534" ht="81.75" customHeight="1" thickBot="1"/>
    <row r="2535" ht="81.75" customHeight="1" thickBot="1"/>
    <row r="2536" ht="81.75" customHeight="1" thickBot="1"/>
    <row r="2537" ht="81.75" customHeight="1" thickBot="1"/>
    <row r="2538" ht="81.75" customHeight="1" thickBot="1"/>
    <row r="2539" ht="81.75" customHeight="1" thickBot="1"/>
    <row r="2540" ht="81.75" customHeight="1" thickBot="1"/>
    <row r="2541" ht="81.75" customHeight="1" thickBot="1"/>
    <row r="2542" ht="81.75" customHeight="1" thickBot="1"/>
    <row r="2543" ht="81.75" customHeight="1" thickBot="1"/>
    <row r="2544" ht="81.75" customHeight="1" thickBot="1"/>
    <row r="2545" ht="81.75" customHeight="1" thickBot="1"/>
    <row r="2546" ht="81.75" customHeight="1" thickBot="1"/>
    <row r="2547" ht="81.75" customHeight="1" thickBot="1"/>
    <row r="2548" ht="81.75" customHeight="1" thickBot="1"/>
    <row r="2549" ht="81.75" customHeight="1" thickBot="1"/>
    <row r="2550" ht="81.75" customHeight="1" thickBot="1"/>
    <row r="2551" ht="81.75" customHeight="1" thickBot="1"/>
    <row r="2552" ht="81.75" customHeight="1" thickBot="1"/>
    <row r="2553" ht="81.75" customHeight="1" thickBot="1"/>
    <row r="2554" ht="81.75" customHeight="1" thickBot="1"/>
    <row r="2555" ht="81.75" customHeight="1" thickBot="1"/>
    <row r="2556" ht="81.75" customHeight="1" thickBot="1"/>
    <row r="2557" ht="81.75" customHeight="1" thickBot="1"/>
    <row r="2558" ht="81.75" customHeight="1" thickBot="1"/>
    <row r="2559" ht="81.75" customHeight="1" thickBot="1"/>
    <row r="2560" ht="81.75" customHeight="1" thickBot="1"/>
    <row r="2561" ht="81.75" customHeight="1" thickBot="1"/>
    <row r="2562" ht="81.75" customHeight="1" thickBot="1"/>
    <row r="2563" ht="81.75" customHeight="1" thickBot="1"/>
    <row r="2564" ht="81.75" customHeight="1" thickBot="1"/>
    <row r="2565" ht="81.75" customHeight="1" thickBot="1"/>
    <row r="2566" ht="81.75" customHeight="1" thickBot="1"/>
    <row r="2567" ht="81.75" customHeight="1" thickBot="1"/>
    <row r="2568" ht="81.75" customHeight="1" thickBot="1"/>
    <row r="2569" ht="81.75" customHeight="1" thickBot="1"/>
    <row r="2570" ht="81.75" customHeight="1" thickBot="1"/>
    <row r="2571" ht="81.75" customHeight="1" thickBot="1"/>
    <row r="2572" ht="81.75" customHeight="1" thickBot="1"/>
    <row r="2573" ht="81.75" customHeight="1" thickBot="1"/>
    <row r="2574" ht="81.75" customHeight="1" thickBot="1"/>
    <row r="2575" ht="81.75" customHeight="1" thickBot="1"/>
    <row r="2576" ht="81.75" customHeight="1" thickBot="1"/>
    <row r="2577" ht="81.75" customHeight="1" thickBot="1"/>
    <row r="2578" ht="81.75" customHeight="1" thickBot="1"/>
    <row r="2579" ht="81.75" customHeight="1" thickBot="1"/>
    <row r="2580" ht="81.75" customHeight="1" thickBot="1"/>
    <row r="2581" ht="81.75" customHeight="1" thickBot="1"/>
    <row r="2582" ht="81.75" customHeight="1" thickBot="1"/>
    <row r="2583" ht="81.75" customHeight="1" thickBot="1"/>
    <row r="2584" ht="81.75" customHeight="1" thickBot="1"/>
    <row r="2585" ht="81.75" customHeight="1" thickBot="1"/>
    <row r="2586" ht="81.75" customHeight="1" thickBot="1"/>
    <row r="2587" ht="81.75" customHeight="1" thickBot="1"/>
    <row r="2588" ht="81.75" customHeight="1" thickBot="1"/>
    <row r="2589" ht="81.75" customHeight="1" thickBot="1"/>
    <row r="2590" ht="81.75" customHeight="1" thickBot="1"/>
    <row r="2591" ht="81.75" customHeight="1" thickBot="1"/>
    <row r="2592" ht="81.75" customHeight="1" thickBot="1"/>
    <row r="2593" ht="81.75" customHeight="1" thickBot="1"/>
    <row r="2594" ht="81.75" customHeight="1" thickBot="1"/>
    <row r="2595" ht="81.75" customHeight="1" thickBot="1"/>
    <row r="2596" ht="81.75" customHeight="1" thickBot="1"/>
    <row r="2597" ht="81.75" customHeight="1" thickBot="1"/>
    <row r="2598" ht="81.75" customHeight="1" thickBot="1"/>
    <row r="2599" ht="81.75" customHeight="1" thickBot="1"/>
    <row r="2600" ht="81.75" customHeight="1" thickBot="1"/>
    <row r="2601" ht="81.75" customHeight="1" thickBot="1"/>
    <row r="2602" ht="81.75" customHeight="1" thickBot="1"/>
    <row r="2603" ht="81.75" customHeight="1" thickBot="1"/>
    <row r="2604" ht="81.75" customHeight="1" thickBot="1"/>
    <row r="2605" ht="81.75" customHeight="1" thickBot="1"/>
    <row r="2606" ht="81.75" customHeight="1" thickBot="1"/>
    <row r="2607" ht="81.75" customHeight="1" thickBot="1"/>
    <row r="2608" ht="81.75" customHeight="1" thickBot="1"/>
    <row r="2609" ht="81.75" customHeight="1" thickBot="1"/>
    <row r="2610" ht="81.75" customHeight="1" thickBot="1"/>
    <row r="2611" ht="81.75" customHeight="1" thickBot="1"/>
    <row r="2612" ht="81.75" customHeight="1" thickBot="1"/>
    <row r="2613" ht="81.75" customHeight="1" thickBot="1"/>
    <row r="2614" ht="81.75" customHeight="1" thickBot="1"/>
    <row r="2615" ht="81.75" customHeight="1" thickBot="1"/>
    <row r="2616" ht="81.75" customHeight="1" thickBot="1"/>
    <row r="2617" ht="81.75" customHeight="1" thickBot="1"/>
    <row r="2618" ht="81.75" customHeight="1" thickBot="1"/>
    <row r="2619" ht="81.75" customHeight="1" thickBot="1"/>
    <row r="2620" ht="81.75" customHeight="1" thickBot="1"/>
    <row r="2621" ht="81.75" customHeight="1" thickBot="1"/>
    <row r="2622" ht="81.75" customHeight="1" thickBot="1"/>
    <row r="2623" ht="81.75" customHeight="1" thickBot="1"/>
    <row r="2624" ht="81.75" customHeight="1" thickBot="1"/>
    <row r="2625" ht="81.75" customHeight="1" thickBot="1"/>
    <row r="2626" ht="81.75" customHeight="1" thickBot="1"/>
    <row r="2627" ht="81.75" customHeight="1" thickBot="1"/>
    <row r="2628" ht="81.75" customHeight="1" thickBot="1"/>
    <row r="2629" ht="81.75" customHeight="1" thickBot="1"/>
    <row r="2630" ht="81.75" customHeight="1" thickBot="1"/>
    <row r="2631" ht="81.75" customHeight="1" thickBot="1"/>
    <row r="2632" ht="81.75" customHeight="1" thickBot="1"/>
    <row r="2633" ht="81.75" customHeight="1" thickBot="1"/>
    <row r="2634" ht="81.75" customHeight="1" thickBot="1"/>
    <row r="2635" ht="81.75" customHeight="1" thickBot="1"/>
    <row r="2636" ht="81.75" customHeight="1" thickBot="1"/>
    <row r="2637" ht="81.75" customHeight="1" thickBot="1"/>
    <row r="2638" ht="81.75" customHeight="1" thickBot="1"/>
    <row r="2639" ht="81.75" customHeight="1" thickBot="1"/>
    <row r="2640" ht="81.75" customHeight="1" thickBot="1"/>
    <row r="2641" ht="81.75" customHeight="1" thickBot="1"/>
    <row r="2642" ht="81.75" customHeight="1" thickBot="1"/>
    <row r="2643" ht="81.75" customHeight="1" thickBot="1"/>
    <row r="2644" ht="81.75" customHeight="1" thickBot="1"/>
    <row r="2645" ht="81.75" customHeight="1" thickBot="1"/>
    <row r="2646" ht="81.75" customHeight="1" thickBot="1"/>
    <row r="2647" ht="81.75" customHeight="1" thickBot="1"/>
    <row r="2648" ht="81.75" customHeight="1" thickBot="1"/>
    <row r="2649" ht="81.75" customHeight="1" thickBot="1"/>
    <row r="2650" ht="81.75" customHeight="1" thickBot="1"/>
    <row r="2651" ht="81.75" customHeight="1" thickBot="1"/>
    <row r="2652" ht="81.75" customHeight="1" thickBot="1"/>
    <row r="2653" ht="81.75" customHeight="1" thickBot="1"/>
    <row r="2654" ht="81.75" customHeight="1" thickBot="1"/>
    <row r="2655" ht="81.75" customHeight="1" thickBot="1"/>
    <row r="2656" ht="81.75" customHeight="1" thickBot="1"/>
    <row r="2657" ht="81.75" customHeight="1" thickBot="1"/>
    <row r="2658" ht="81.75" customHeight="1" thickBot="1"/>
    <row r="2659" ht="81.75" customHeight="1" thickBot="1"/>
    <row r="2660" ht="81.75" customHeight="1" thickBot="1"/>
    <row r="2661" ht="81.75" customHeight="1" thickBot="1"/>
    <row r="2662" ht="81.75" customHeight="1" thickBot="1"/>
    <row r="2663" ht="81.75" customHeight="1" thickBot="1"/>
    <row r="2664" ht="81.75" customHeight="1" thickBot="1"/>
    <row r="2665" ht="81.75" customHeight="1" thickBot="1"/>
    <row r="2666" ht="81.75" customHeight="1" thickBot="1"/>
    <row r="2667" ht="81.75" customHeight="1" thickBot="1"/>
    <row r="2668" ht="81.75" customHeight="1" thickBot="1"/>
    <row r="2669" ht="81.75" customHeight="1" thickBot="1"/>
    <row r="2670" ht="81.75" customHeight="1" thickBot="1"/>
    <row r="2671" ht="81.75" customHeight="1" thickBot="1"/>
    <row r="2672" ht="81.75" customHeight="1" thickBot="1"/>
    <row r="2673" ht="81.75" customHeight="1" thickBot="1"/>
    <row r="2674" ht="81.75" customHeight="1" thickBot="1"/>
    <row r="2675" ht="81.75" customHeight="1" thickBot="1"/>
    <row r="2676" ht="81.75" customHeight="1" thickBot="1"/>
    <row r="2677" ht="81.75" customHeight="1" thickBot="1"/>
    <row r="2678" ht="81.75" customHeight="1" thickBot="1"/>
    <row r="2679" ht="81.75" customHeight="1" thickBot="1"/>
    <row r="2680" ht="81.75" customHeight="1" thickBot="1"/>
    <row r="2681" ht="81.75" customHeight="1" thickBot="1"/>
    <row r="2682" ht="81.75" customHeight="1" thickBot="1"/>
    <row r="2683" ht="81.75" customHeight="1" thickBot="1"/>
    <row r="2684" ht="81.75" customHeight="1" thickBot="1"/>
    <row r="2685" ht="81.75" customHeight="1" thickBot="1"/>
    <row r="2686" ht="81.75" customHeight="1" thickBot="1"/>
    <row r="2687" ht="81.75" customHeight="1" thickBot="1"/>
    <row r="2688" ht="81.75" customHeight="1" thickBot="1"/>
    <row r="2689" ht="81.75" customHeight="1" thickBot="1"/>
    <row r="2690" ht="81.75" customHeight="1" thickBot="1"/>
    <row r="2691" ht="81.75" customHeight="1" thickBot="1"/>
    <row r="2692" ht="81.75" customHeight="1" thickBot="1"/>
    <row r="2693" ht="81.75" customHeight="1" thickBot="1"/>
    <row r="2694" ht="81.75" customHeight="1" thickBot="1"/>
    <row r="2695" ht="81.75" customHeight="1" thickBot="1"/>
    <row r="2696" ht="81.75" customHeight="1" thickBot="1"/>
    <row r="2697" ht="81.75" customHeight="1" thickBot="1"/>
    <row r="2698" ht="81.75" customHeight="1" thickBot="1"/>
    <row r="2699" ht="81.75" customHeight="1" thickBot="1"/>
    <row r="2700" ht="81.75" customHeight="1" thickBot="1"/>
    <row r="2701" ht="81.75" customHeight="1" thickBot="1"/>
    <row r="2702" ht="81.75" customHeight="1" thickBot="1"/>
    <row r="2703" ht="81.75" customHeight="1" thickBot="1"/>
    <row r="2704" ht="81.75" customHeight="1" thickBot="1"/>
    <row r="2705" ht="81.75" customHeight="1" thickBot="1"/>
    <row r="2706" ht="81.75" customHeight="1" thickBot="1"/>
    <row r="2707" ht="81.75" customHeight="1" thickBot="1"/>
    <row r="2708" ht="81.75" customHeight="1" thickBot="1"/>
    <row r="2709" ht="81.75" customHeight="1" thickBot="1"/>
    <row r="2710" ht="81.75" customHeight="1" thickBot="1"/>
    <row r="2711" ht="81.75" customHeight="1" thickBot="1"/>
    <row r="2712" ht="81.75" customHeight="1" thickBot="1"/>
    <row r="2713" ht="81.75" customHeight="1" thickBot="1"/>
    <row r="2714" ht="81.75" customHeight="1" thickBot="1"/>
    <row r="2715" ht="81.75" customHeight="1" thickBot="1"/>
    <row r="2716" ht="81.75" customHeight="1" thickBot="1"/>
    <row r="2717" ht="81.75" customHeight="1" thickBot="1"/>
    <row r="2718" ht="81.75" customHeight="1" thickBot="1"/>
    <row r="2719" ht="81.75" customHeight="1" thickBot="1"/>
    <row r="2720" ht="81.75" customHeight="1" thickBot="1"/>
    <row r="2721" ht="81.75" customHeight="1" thickBot="1"/>
    <row r="2722" ht="81.75" customHeight="1" thickBot="1"/>
    <row r="2723" ht="81.75" customHeight="1" thickBot="1"/>
    <row r="2724" ht="81.75" customHeight="1" thickBot="1"/>
    <row r="2725" ht="81.75" customHeight="1" thickBot="1"/>
    <row r="2726" ht="81.75" customHeight="1" thickBot="1"/>
    <row r="2727" ht="81.75" customHeight="1" thickBot="1"/>
    <row r="2728" ht="81.75" customHeight="1" thickBot="1"/>
    <row r="2729" ht="81.75" customHeight="1" thickBot="1"/>
    <row r="2730" ht="81.75" customHeight="1" thickBot="1"/>
    <row r="2731" ht="81.75" customHeight="1" thickBot="1"/>
    <row r="2732" ht="81.75" customHeight="1" thickBot="1"/>
    <row r="2733" ht="81.75" customHeight="1" thickBot="1"/>
    <row r="2734" ht="81.75" customHeight="1" thickBot="1"/>
    <row r="2735" ht="81.75" customHeight="1" thickBot="1"/>
    <row r="2736" ht="81.75" customHeight="1" thickBot="1"/>
    <row r="2737" ht="81.75" customHeight="1" thickBot="1"/>
    <row r="2738" ht="81.75" customHeight="1" thickBot="1"/>
    <row r="2739" ht="81.75" customHeight="1" thickBot="1"/>
    <row r="2740" ht="81.75" customHeight="1" thickBot="1"/>
    <row r="2741" ht="81.75" customHeight="1" thickBot="1"/>
    <row r="2742" ht="81.75" customHeight="1" thickBot="1"/>
    <row r="2743" ht="81.75" customHeight="1" thickBot="1"/>
    <row r="2744" ht="81.75" customHeight="1" thickBot="1"/>
    <row r="2745" ht="81.75" customHeight="1" thickBot="1"/>
    <row r="2746" ht="81.75" customHeight="1" thickBot="1"/>
    <row r="2747" ht="81.75" customHeight="1" thickBot="1"/>
    <row r="2748" ht="81.75" customHeight="1" thickBot="1"/>
    <row r="2749" ht="81.75" customHeight="1" thickBot="1"/>
    <row r="2750" ht="81.75" customHeight="1" thickBot="1"/>
    <row r="2751" ht="81.75" customHeight="1" thickBot="1"/>
    <row r="2752" ht="81.75" customHeight="1" thickBot="1"/>
    <row r="2753" ht="81.75" customHeight="1" thickBot="1"/>
    <row r="2754" ht="81.75" customHeight="1" thickBot="1"/>
    <row r="2755" ht="81.75" customHeight="1" thickBot="1"/>
    <row r="2756" ht="81.75" customHeight="1" thickBot="1"/>
    <row r="2757" ht="81.75" customHeight="1" thickBot="1"/>
    <row r="2758" ht="81.75" customHeight="1" thickBot="1"/>
    <row r="2759" ht="81.75" customHeight="1" thickBot="1"/>
    <row r="2760" ht="81.75" customHeight="1" thickBot="1"/>
    <row r="2761" ht="81.75" customHeight="1" thickBot="1"/>
    <row r="2762" ht="81.75" customHeight="1" thickBot="1"/>
    <row r="2763" ht="81.75" customHeight="1" thickBot="1"/>
    <row r="2764" ht="81.75" customHeight="1" thickBot="1"/>
    <row r="2765" ht="81.75" customHeight="1" thickBot="1"/>
    <row r="2766" ht="81.75" customHeight="1" thickBot="1"/>
    <row r="2767" ht="81.75" customHeight="1" thickBot="1"/>
    <row r="2768" ht="81.75" customHeight="1" thickBot="1"/>
    <row r="2769" ht="81.75" customHeight="1" thickBot="1"/>
    <row r="2770" ht="81.75" customHeight="1" thickBot="1"/>
    <row r="2771" ht="81.75" customHeight="1" thickBot="1"/>
    <row r="2772" ht="81.75" customHeight="1" thickBot="1"/>
    <row r="2773" ht="81.75" customHeight="1" thickBot="1"/>
    <row r="2774" ht="81.75" customHeight="1" thickBot="1"/>
    <row r="2775" ht="81.75" customHeight="1" thickBot="1"/>
    <row r="2776" ht="81.75" customHeight="1" thickBot="1"/>
    <row r="2777" ht="81.75" customHeight="1" thickBot="1"/>
    <row r="2778" ht="81.75" customHeight="1" thickBot="1"/>
    <row r="2779" ht="81.75" customHeight="1" thickBot="1"/>
    <row r="2780" ht="81.75" customHeight="1" thickBot="1"/>
    <row r="2781" ht="81.75" customHeight="1" thickBot="1"/>
    <row r="2782" ht="81.75" customHeight="1" thickBot="1"/>
    <row r="2783" ht="81.75" customHeight="1" thickBot="1"/>
    <row r="2784" ht="81.75" customHeight="1" thickBot="1"/>
    <row r="2785" ht="81.75" customHeight="1" thickBot="1"/>
    <row r="2786" ht="81.75" customHeight="1" thickBot="1"/>
    <row r="2787" ht="81.75" customHeight="1" thickBot="1"/>
    <row r="2788" ht="81.75" customHeight="1" thickBot="1"/>
    <row r="2789" ht="81.75" customHeight="1" thickBot="1"/>
    <row r="2790" ht="81.75" customHeight="1" thickBot="1"/>
    <row r="2791" ht="81.75" customHeight="1" thickBot="1"/>
    <row r="2792" ht="81.75" customHeight="1" thickBot="1"/>
    <row r="2793" ht="81.75" customHeight="1" thickBot="1"/>
    <row r="2794" ht="81.75" customHeight="1" thickBot="1"/>
    <row r="2795" ht="81.75" customHeight="1" thickBot="1"/>
    <row r="2796" ht="81.75" customHeight="1" thickBot="1"/>
    <row r="2797" ht="81.75" customHeight="1" thickBot="1"/>
    <row r="2798" ht="81.75" customHeight="1" thickBot="1"/>
    <row r="2799" ht="81.75" customHeight="1" thickBot="1"/>
    <row r="2800" ht="81.75" customHeight="1" thickBot="1"/>
    <row r="2801" ht="81.75" customHeight="1" thickBot="1"/>
    <row r="2802" ht="81.75" customHeight="1" thickBot="1"/>
    <row r="2803" ht="81.75" customHeight="1" thickBot="1"/>
    <row r="2804" ht="81.75" customHeight="1" thickBot="1"/>
    <row r="2805" ht="81.75" customHeight="1" thickBot="1"/>
    <row r="2806" ht="81.75" customHeight="1" thickBot="1"/>
    <row r="2807" ht="81.75" customHeight="1" thickBot="1"/>
    <row r="2808" ht="81.75" customHeight="1" thickBot="1"/>
    <row r="2809" ht="81.75" customHeight="1" thickBot="1"/>
    <row r="2810" ht="81.75" customHeight="1" thickBot="1"/>
    <row r="2811" ht="81.75" customHeight="1" thickBot="1"/>
    <row r="2812" ht="81.75" customHeight="1" thickBot="1"/>
    <row r="2813" ht="81.75" customHeight="1" thickBot="1"/>
    <row r="2814" ht="81.75" customHeight="1" thickBot="1"/>
    <row r="2815" ht="81.75" customHeight="1" thickBot="1"/>
    <row r="2816" ht="81.75" customHeight="1" thickBot="1"/>
    <row r="2817" ht="81.75" customHeight="1" thickBot="1"/>
    <row r="2818" ht="81.75" customHeight="1" thickBot="1"/>
    <row r="2819" ht="81.75" customHeight="1" thickBot="1"/>
    <row r="2820" ht="81.75" customHeight="1" thickBot="1"/>
    <row r="2821" ht="81.75" customHeight="1" thickBot="1"/>
    <row r="2822" ht="81.75" customHeight="1" thickBot="1"/>
    <row r="2823" ht="81.75" customHeight="1" thickBot="1"/>
    <row r="2824" ht="81.75" customHeight="1" thickBot="1"/>
    <row r="2825" ht="81.75" customHeight="1" thickBot="1"/>
    <row r="2826" ht="81.75" customHeight="1" thickBot="1"/>
    <row r="2827" ht="81.75" customHeight="1" thickBot="1"/>
    <row r="2828" ht="81.75" customHeight="1" thickBot="1"/>
    <row r="2829" ht="81.75" customHeight="1" thickBot="1"/>
    <row r="2830" ht="81.75" customHeight="1" thickBot="1"/>
    <row r="2831" ht="81.75" customHeight="1" thickBot="1"/>
    <row r="2832" ht="81.75" customHeight="1" thickBot="1"/>
    <row r="2833" ht="81.75" customHeight="1" thickBot="1"/>
    <row r="2834" ht="81.75" customHeight="1" thickBot="1"/>
    <row r="2835" ht="81.75" customHeight="1" thickBot="1"/>
    <row r="2836" ht="81.75" customHeight="1" thickBot="1"/>
    <row r="2837" ht="81.75" customHeight="1" thickBot="1"/>
    <row r="2838" ht="81.75" customHeight="1" thickBot="1"/>
    <row r="2839" ht="81.75" customHeight="1" thickBot="1"/>
    <row r="2840" ht="81.75" customHeight="1" thickBot="1"/>
    <row r="2841" ht="81.75" customHeight="1" thickBot="1"/>
    <row r="2842" ht="81.75" customHeight="1" thickBot="1"/>
    <row r="2843" ht="81.75" customHeight="1" thickBot="1"/>
    <row r="2844" ht="81.75" customHeight="1" thickBot="1"/>
    <row r="2845" ht="81.75" customHeight="1" thickBot="1"/>
    <row r="2846" ht="81.75" customHeight="1" thickBot="1"/>
    <row r="2847" ht="81.75" customHeight="1" thickBot="1"/>
    <row r="2848" ht="81.75" customHeight="1" thickBot="1"/>
    <row r="2849" ht="81.75" customHeight="1" thickBot="1"/>
    <row r="2850" ht="81.75" customHeight="1" thickBot="1"/>
    <row r="2851" ht="81.75" customHeight="1" thickBot="1"/>
    <row r="2852" ht="81.75" customHeight="1" thickBot="1"/>
    <row r="2853" ht="81.75" customHeight="1" thickBot="1"/>
    <row r="2854" ht="81.75" customHeight="1" thickBot="1"/>
    <row r="2855" ht="81.75" customHeight="1" thickBot="1"/>
    <row r="2856" ht="81.75" customHeight="1" thickBot="1"/>
    <row r="2857" ht="81.75" customHeight="1" thickBot="1"/>
    <row r="2858" ht="81.75" customHeight="1" thickBot="1"/>
    <row r="2859" ht="81.75" customHeight="1" thickBot="1"/>
    <row r="2860" ht="81.75" customHeight="1" thickBot="1"/>
    <row r="2861" ht="81.75" customHeight="1" thickBot="1"/>
    <row r="2862" ht="81.75" customHeight="1" thickBot="1"/>
    <row r="2863" ht="81.75" customHeight="1" thickBot="1"/>
    <row r="2864" ht="81.75" customHeight="1" thickBot="1"/>
    <row r="2865" ht="81.75" customHeight="1" thickBot="1"/>
    <row r="2866" ht="81.75" customHeight="1" thickBot="1"/>
    <row r="2867" ht="81.75" customHeight="1" thickBot="1"/>
    <row r="2868" ht="81.75" customHeight="1" thickBot="1"/>
    <row r="2869" ht="81.75" customHeight="1" thickBot="1"/>
    <row r="2870" ht="81.75" customHeight="1" thickBot="1"/>
    <row r="2871" ht="81.75" customHeight="1" thickBot="1"/>
    <row r="2872" ht="81.75" customHeight="1" thickBot="1"/>
    <row r="2873" ht="81.75" customHeight="1" thickBot="1"/>
    <row r="2874" ht="81.75" customHeight="1" thickBot="1"/>
    <row r="2875" ht="81.75" customHeight="1" thickBot="1"/>
    <row r="2876" ht="81.75" customHeight="1" thickBot="1"/>
    <row r="2877" ht="81.75" customHeight="1" thickBot="1"/>
    <row r="2878" ht="81.75" customHeight="1" thickBot="1"/>
    <row r="2879" ht="81.75" customHeight="1" thickBot="1"/>
    <row r="2880" ht="81.75" customHeight="1" thickBot="1"/>
    <row r="2881" ht="81.75" customHeight="1" thickBot="1"/>
    <row r="2882" ht="81.75" customHeight="1" thickBot="1"/>
    <row r="2883" ht="81.75" customHeight="1" thickBot="1"/>
    <row r="2884" ht="81.75" customHeight="1" thickBot="1"/>
    <row r="2885" ht="81.75" customHeight="1" thickBot="1"/>
    <row r="2886" ht="81.75" customHeight="1" thickBot="1"/>
    <row r="2887" ht="81.75" customHeight="1" thickBot="1"/>
    <row r="2888" ht="81.75" customHeight="1" thickBot="1"/>
    <row r="2889" ht="81.75" customHeight="1" thickBot="1"/>
    <row r="2890" ht="81.75" customHeight="1" thickBot="1"/>
    <row r="2891" ht="81.75" customHeight="1" thickBot="1"/>
    <row r="2892" ht="81.75" customHeight="1" thickBot="1"/>
    <row r="2893" ht="81.75" customHeight="1" thickBot="1"/>
    <row r="2894" ht="81.75" customHeight="1" thickBot="1"/>
    <row r="2895" ht="81.75" customHeight="1" thickBot="1"/>
    <row r="2896" ht="81.75" customHeight="1" thickBot="1"/>
    <row r="2897" ht="81.75" customHeight="1" thickBot="1"/>
    <row r="2898" ht="81.75" customHeight="1" thickBot="1"/>
    <row r="2899" ht="81.75" customHeight="1" thickBot="1"/>
    <row r="2900" ht="81.75" customHeight="1" thickBot="1"/>
    <row r="2901" ht="81.75" customHeight="1" thickBot="1"/>
    <row r="2902" ht="81.75" customHeight="1" thickBot="1"/>
    <row r="2903" ht="81.75" customHeight="1" thickBot="1"/>
    <row r="2904" ht="81.75" customHeight="1" thickBot="1"/>
    <row r="2905" ht="81.75" customHeight="1" thickBot="1"/>
    <row r="2906" ht="81.75" customHeight="1" thickBot="1"/>
    <row r="2907" ht="81.75" customHeight="1" thickBot="1"/>
    <row r="2908" ht="81.75" customHeight="1" thickBot="1"/>
    <row r="2909" ht="81.75" customHeight="1" thickBot="1"/>
    <row r="2910" ht="81.75" customHeight="1" thickBot="1"/>
    <row r="2911" ht="81.75" customHeight="1" thickBot="1"/>
    <row r="2912" ht="81.75" customHeight="1" thickBot="1"/>
    <row r="2913" ht="81.75" customHeight="1" thickBot="1"/>
    <row r="2914" ht="81.75" customHeight="1" thickBot="1"/>
    <row r="2915" ht="81.75" customHeight="1" thickBot="1"/>
    <row r="2916" ht="81.75" customHeight="1" thickBot="1"/>
    <row r="2917" ht="81.75" customHeight="1" thickBot="1"/>
    <row r="2918" ht="81.75" customHeight="1" thickBot="1"/>
    <row r="2919" ht="81.75" customHeight="1" thickBot="1"/>
    <row r="2920" ht="81.75" customHeight="1" thickBot="1"/>
    <row r="2921" ht="81.75" customHeight="1" thickBot="1"/>
    <row r="2922" ht="81.75" customHeight="1" thickBot="1"/>
    <row r="2923" ht="81.75" customHeight="1" thickBot="1"/>
    <row r="2924" ht="81.75" customHeight="1" thickBot="1"/>
    <row r="2925" ht="81.75" customHeight="1" thickBot="1"/>
    <row r="2926" ht="81.75" customHeight="1" thickBot="1"/>
    <row r="2927" ht="81.75" customHeight="1" thickBot="1"/>
    <row r="2928" ht="81.75" customHeight="1" thickBot="1"/>
    <row r="2929" ht="81.75" customHeight="1" thickBot="1"/>
    <row r="2930" ht="81.75" customHeight="1" thickBot="1"/>
    <row r="2931" ht="81.75" customHeight="1" thickBot="1"/>
    <row r="2932" ht="81.75" customHeight="1" thickBot="1"/>
    <row r="2933" ht="81.75" customHeight="1" thickBot="1"/>
    <row r="2934" ht="81.75" customHeight="1" thickBot="1"/>
    <row r="2935" ht="81.75" customHeight="1" thickBot="1"/>
    <row r="2936" ht="81.75" customHeight="1" thickBot="1"/>
    <row r="2937" ht="81.75" customHeight="1" thickBot="1"/>
    <row r="2938" ht="81.75" customHeight="1" thickBot="1"/>
    <row r="2939" ht="81.75" customHeight="1" thickBot="1"/>
    <row r="2940" ht="81.75" customHeight="1" thickBot="1"/>
    <row r="2941" ht="81.75" customHeight="1" thickBot="1"/>
    <row r="2942" ht="81.75" customHeight="1" thickBot="1"/>
    <row r="2943" ht="81.75" customHeight="1" thickBot="1"/>
    <row r="2944" ht="81.75" customHeight="1" thickBot="1"/>
    <row r="2945" ht="81.75" customHeight="1" thickBot="1"/>
    <row r="2946" ht="81.75" customHeight="1" thickBot="1"/>
    <row r="2947" ht="81.75" customHeight="1" thickBot="1"/>
    <row r="2948" ht="81.75" customHeight="1" thickBot="1"/>
    <row r="2949" ht="81.75" customHeight="1" thickBot="1"/>
    <row r="2950" ht="81.75" customHeight="1" thickBot="1"/>
    <row r="2951" ht="81.75" customHeight="1" thickBot="1"/>
    <row r="2952" ht="81.75" customHeight="1" thickBot="1"/>
    <row r="2953" ht="81.75" customHeight="1" thickBot="1"/>
    <row r="2954" ht="81.75" customHeight="1" thickBot="1"/>
    <row r="2955" ht="81.75" customHeight="1" thickBot="1"/>
    <row r="2956" ht="81.75" customHeight="1" thickBot="1"/>
    <row r="2957" ht="81.75" customHeight="1" thickBot="1"/>
    <row r="2958" ht="81.75" customHeight="1" thickBot="1"/>
    <row r="2959" ht="81.75" customHeight="1" thickBot="1"/>
    <row r="2960" ht="81.75" customHeight="1" thickBot="1"/>
    <row r="2961" ht="81.75" customHeight="1" thickBot="1"/>
    <row r="2962" ht="81.75" customHeight="1" thickBot="1"/>
    <row r="2963" ht="81.75" customHeight="1" thickBot="1"/>
    <row r="2964" ht="81.75" customHeight="1" thickBot="1"/>
    <row r="2965" ht="81.75" customHeight="1" thickBot="1"/>
    <row r="2966" ht="81.75" customHeight="1" thickBot="1"/>
    <row r="2967" ht="81.75" customHeight="1" thickBot="1"/>
    <row r="2968" ht="81.75" customHeight="1" thickBot="1"/>
    <row r="2969" ht="81.75" customHeight="1" thickBot="1"/>
    <row r="2970" ht="81.75" customHeight="1" thickBot="1"/>
    <row r="2971" ht="81.75" customHeight="1" thickBot="1"/>
    <row r="2972" ht="81.75" customHeight="1" thickBot="1"/>
    <row r="2973" ht="81.75" customHeight="1" thickBot="1"/>
    <row r="2974" ht="81.75" customHeight="1" thickBot="1"/>
    <row r="2975" ht="81.75" customHeight="1" thickBot="1"/>
    <row r="2976" ht="81.75" customHeight="1" thickBot="1"/>
    <row r="2977" ht="81.75" customHeight="1" thickBot="1"/>
    <row r="2978" ht="81.75" customHeight="1" thickBot="1"/>
    <row r="2979" ht="81.75" customHeight="1" thickBot="1"/>
    <row r="2980" ht="81.75" customHeight="1" thickBot="1"/>
    <row r="2981" ht="81.75" customHeight="1" thickBot="1"/>
    <row r="2982" ht="81.75" customHeight="1" thickBot="1"/>
    <row r="2983" ht="81.75" customHeight="1" thickBot="1"/>
    <row r="2984" ht="81.75" customHeight="1" thickBot="1"/>
    <row r="2985" ht="81.75" customHeight="1" thickBot="1"/>
    <row r="2986" ht="81.75" customHeight="1" thickBot="1"/>
    <row r="2987" ht="81.75" customHeight="1" thickBot="1"/>
    <row r="2988" ht="81.75" customHeight="1" thickBot="1"/>
    <row r="2989" ht="81.75" customHeight="1" thickBot="1"/>
    <row r="2990" ht="81.75" customHeight="1" thickBot="1"/>
    <row r="2991" ht="81.75" customHeight="1" thickBot="1"/>
    <row r="2992" ht="81.75" customHeight="1" thickBot="1"/>
    <row r="2993" ht="81.75" customHeight="1" thickBot="1"/>
    <row r="2994" ht="81.75" customHeight="1" thickBot="1"/>
    <row r="2995" ht="81.75" customHeight="1" thickBot="1"/>
    <row r="2996" ht="81.75" customHeight="1" thickBot="1"/>
    <row r="2997" ht="81.75" customHeight="1" thickBot="1"/>
    <row r="2998" ht="81.75" customHeight="1" thickBot="1"/>
    <row r="2999" ht="81.75" customHeight="1" thickBot="1"/>
    <row r="3000" ht="81.75" customHeight="1" thickBot="1"/>
    <row r="3001" ht="81.75" customHeight="1" thickBot="1"/>
    <row r="3002" ht="81.75" customHeight="1" thickBot="1"/>
    <row r="3003" ht="81.75" customHeight="1" thickBot="1"/>
    <row r="3004" ht="81.75" customHeight="1" thickBot="1"/>
    <row r="3005" ht="81.75" customHeight="1" thickBot="1"/>
    <row r="3006" ht="81.75" customHeight="1" thickBot="1"/>
    <row r="3007" ht="81.75" customHeight="1" thickBot="1"/>
    <row r="3008" ht="81.75" customHeight="1" thickBot="1"/>
    <row r="3009" ht="81.75" customHeight="1" thickBot="1"/>
    <row r="3010" ht="81.75" customHeight="1" thickBot="1"/>
    <row r="3011" ht="81.75" customHeight="1" thickBot="1"/>
    <row r="3012" ht="81.75" customHeight="1" thickBot="1"/>
    <row r="3013" ht="81.75" customHeight="1" thickBot="1"/>
    <row r="3014" ht="81.75" customHeight="1" thickBot="1"/>
    <row r="3015" ht="81.75" customHeight="1" thickBot="1"/>
    <row r="3016" ht="81.75" customHeight="1" thickBot="1"/>
    <row r="3017" ht="81.75" customHeight="1" thickBot="1"/>
    <row r="3018" ht="81.75" customHeight="1" thickBot="1"/>
    <row r="3019" ht="81.75" customHeight="1" thickBot="1"/>
    <row r="3020" ht="81.75" customHeight="1" thickBot="1"/>
    <row r="3021" ht="81.75" customHeight="1" thickBot="1"/>
    <row r="3022" ht="81.75" customHeight="1" thickBot="1"/>
    <row r="3023" ht="81.75" customHeight="1" thickBot="1"/>
    <row r="3024" ht="81.75" customHeight="1" thickBot="1"/>
    <row r="3025" ht="81.75" customHeight="1" thickBot="1"/>
    <row r="3026" ht="81.75" customHeight="1" thickBot="1"/>
    <row r="3027" ht="81.75" customHeight="1" thickBot="1"/>
    <row r="3028" ht="81.75" customHeight="1" thickBot="1"/>
    <row r="3029" ht="81.75" customHeight="1" thickBot="1"/>
    <row r="3030" ht="81.75" customHeight="1" thickBot="1"/>
    <row r="3031" ht="81.75" customHeight="1" thickBot="1"/>
    <row r="3032" ht="81.75" customHeight="1" thickBot="1"/>
    <row r="3033" ht="81.75" customHeight="1" thickBot="1"/>
    <row r="3034" ht="81.75" customHeight="1" thickBot="1"/>
    <row r="3035" ht="81.75" customHeight="1" thickBot="1"/>
    <row r="3036" ht="81.75" customHeight="1" thickBot="1"/>
    <row r="3037" ht="81.75" customHeight="1" thickBot="1"/>
    <row r="3038" ht="81.75" customHeight="1" thickBot="1"/>
    <row r="3039" ht="81.75" customHeight="1" thickBot="1"/>
    <row r="3040" ht="81.75" customHeight="1" thickBot="1"/>
    <row r="3041" ht="81.75" customHeight="1" thickBot="1"/>
    <row r="3042" ht="81.75" customHeight="1" thickBot="1"/>
    <row r="3043" ht="81.75" customHeight="1" thickBot="1"/>
    <row r="3044" ht="81.75" customHeight="1" thickBot="1"/>
    <row r="3045" ht="81.75" customHeight="1" thickBot="1"/>
    <row r="3046" ht="81.75" customHeight="1" thickBot="1"/>
    <row r="3047" ht="81.75" customHeight="1" thickBot="1"/>
    <row r="3048" ht="81.75" customHeight="1" thickBot="1"/>
    <row r="3049" ht="81.75" customHeight="1" thickBot="1"/>
    <row r="3050" ht="81.75" customHeight="1" thickBot="1"/>
    <row r="3051" ht="81.75" customHeight="1" thickBot="1"/>
    <row r="3052" ht="81.75" customHeight="1" thickBot="1"/>
    <row r="3053" ht="81.75" customHeight="1" thickBot="1"/>
    <row r="3054" ht="81.75" customHeight="1" thickBot="1"/>
    <row r="3055" ht="81.75" customHeight="1" thickBot="1"/>
    <row r="3056" ht="81.75" customHeight="1" thickBot="1"/>
    <row r="3057" ht="81.75" customHeight="1" thickBot="1"/>
    <row r="3058" ht="81.75" customHeight="1" thickBot="1"/>
    <row r="3059" ht="81.75" customHeight="1" thickBot="1"/>
    <row r="3060" ht="81.75" customHeight="1" thickBot="1"/>
    <row r="3061" ht="81.75" customHeight="1" thickBot="1"/>
    <row r="3062" ht="81.75" customHeight="1" thickBot="1"/>
    <row r="3063" ht="81.75" customHeight="1" thickBot="1"/>
    <row r="3064" ht="81.75" customHeight="1" thickBot="1"/>
    <row r="3065" ht="81.75" customHeight="1" thickBot="1"/>
    <row r="3066" ht="81.75" customHeight="1" thickBot="1"/>
    <row r="3067" ht="81.75" customHeight="1" thickBot="1"/>
    <row r="3068" ht="81.75" customHeight="1" thickBot="1"/>
    <row r="3069" ht="81.75" customHeight="1" thickBot="1"/>
    <row r="3070" ht="81.75" customHeight="1" thickBot="1"/>
    <row r="3071" ht="81.75" customHeight="1" thickBot="1"/>
    <row r="3072" ht="81.75" customHeight="1" thickBot="1"/>
    <row r="3073" ht="81.75" customHeight="1" thickBot="1"/>
    <row r="3074" ht="81.75" customHeight="1" thickBot="1"/>
    <row r="3075" ht="81.75" customHeight="1" thickBot="1"/>
    <row r="3076" ht="81.75" customHeight="1" thickBot="1"/>
    <row r="3077" ht="81.75" customHeight="1" thickBot="1"/>
    <row r="3078" ht="81.75" customHeight="1" thickBot="1"/>
    <row r="3079" ht="81.75" customHeight="1" thickBot="1"/>
    <row r="3080" ht="81.75" customHeight="1" thickBot="1"/>
    <row r="3081" ht="81.75" customHeight="1" thickBot="1"/>
    <row r="3082" ht="81.75" customHeight="1" thickBot="1"/>
    <row r="3083" ht="81.75" customHeight="1" thickBot="1"/>
    <row r="3084" ht="81.75" customHeight="1" thickBot="1"/>
    <row r="3085" ht="81.75" customHeight="1" thickBot="1"/>
    <row r="3086" ht="81.75" customHeight="1" thickBot="1"/>
    <row r="3087" ht="81.75" customHeight="1" thickBot="1"/>
    <row r="3088" ht="81.75" customHeight="1" thickBot="1"/>
    <row r="3089" ht="81.75" customHeight="1" thickBot="1"/>
    <row r="3090" ht="81.75" customHeight="1" thickBot="1"/>
    <row r="3091" ht="81.75" customHeight="1" thickBot="1"/>
    <row r="3092" ht="81.75" customHeight="1" thickBot="1"/>
    <row r="3093" ht="81.75" customHeight="1" thickBot="1"/>
    <row r="3094" ht="81.75" customHeight="1" thickBot="1"/>
    <row r="3095" ht="81.75" customHeight="1" thickBot="1"/>
    <row r="3096" ht="81.75" customHeight="1" thickBot="1"/>
    <row r="3097" ht="81.75" customHeight="1" thickBot="1"/>
    <row r="3098" ht="81.75" customHeight="1" thickBot="1"/>
    <row r="3099" ht="81.75" customHeight="1" thickBot="1"/>
    <row r="3100" ht="81.75" customHeight="1" thickBot="1"/>
    <row r="3101" ht="81.75" customHeight="1" thickBot="1"/>
    <row r="3102" ht="81.75" customHeight="1" thickBot="1"/>
    <row r="3103" ht="81.75" customHeight="1" thickBot="1"/>
    <row r="3104" ht="81.75" customHeight="1" thickBot="1"/>
    <row r="3105" ht="81.75" customHeight="1" thickBot="1"/>
    <row r="3106" ht="81.75" customHeight="1" thickBot="1"/>
    <row r="3107" ht="81.75" customHeight="1" thickBot="1"/>
    <row r="3108" ht="81.75" customHeight="1" thickBot="1"/>
    <row r="3109" ht="81.75" customHeight="1" thickBot="1"/>
    <row r="3110" ht="81.75" customHeight="1" thickBot="1"/>
    <row r="3111" ht="81.75" customHeight="1" thickBot="1"/>
    <row r="3112" ht="81.75" customHeight="1" thickBot="1"/>
    <row r="3113" ht="81.75" customHeight="1" thickBot="1"/>
    <row r="3114" ht="81.75" customHeight="1" thickBot="1"/>
    <row r="3115" ht="81.75" customHeight="1" thickBot="1"/>
    <row r="3116" ht="81.75" customHeight="1" thickBot="1"/>
    <row r="3117" ht="81.75" customHeight="1" thickBot="1"/>
    <row r="3118" ht="81.75" customHeight="1" thickBot="1"/>
    <row r="3119" ht="81.75" customHeight="1" thickBot="1"/>
    <row r="3120" ht="81.75" customHeight="1" thickBot="1"/>
    <row r="3121" ht="81.75" customHeight="1" thickBot="1"/>
    <row r="3122" ht="81.75" customHeight="1" thickBot="1"/>
    <row r="3123" ht="81.75" customHeight="1" thickBot="1"/>
    <row r="3124" ht="81.75" customHeight="1" thickBot="1"/>
    <row r="3125" ht="81.75" customHeight="1" thickBot="1"/>
    <row r="3126" ht="81.75" customHeight="1" thickBot="1"/>
    <row r="3127" ht="81.75" customHeight="1" thickBot="1"/>
    <row r="3128" ht="81.75" customHeight="1" thickBot="1"/>
    <row r="3129" ht="81.75" customHeight="1" thickBot="1"/>
    <row r="3130" ht="81.75" customHeight="1" thickBot="1"/>
    <row r="3131" ht="81.75" customHeight="1" thickBot="1"/>
    <row r="3132" ht="81.75" customHeight="1" thickBot="1"/>
    <row r="3133" ht="81.75" customHeight="1" thickBot="1"/>
    <row r="3134" ht="81.75" customHeight="1" thickBot="1"/>
    <row r="3135" ht="81.75" customHeight="1" thickBot="1"/>
    <row r="3136" ht="81.75" customHeight="1" thickBot="1"/>
    <row r="3137" ht="81.75" customHeight="1" thickBot="1"/>
    <row r="3138" ht="81.75" customHeight="1" thickBot="1"/>
    <row r="3139" ht="81.75" customHeight="1" thickBot="1"/>
    <row r="3140" ht="81.75" customHeight="1" thickBot="1"/>
    <row r="3141" ht="81.75" customHeight="1" thickBot="1"/>
    <row r="3142" ht="81.75" customHeight="1" thickBot="1"/>
    <row r="3143" ht="81.75" customHeight="1" thickBot="1"/>
    <row r="3144" ht="81.75" customHeight="1" thickBot="1"/>
    <row r="3145" ht="81.75" customHeight="1" thickBot="1"/>
    <row r="3146" ht="81.75" customHeight="1" thickBot="1"/>
    <row r="3147" ht="81.75" customHeight="1" thickBot="1"/>
    <row r="3148" ht="81.75" customHeight="1" thickBot="1"/>
    <row r="3149" ht="81.75" customHeight="1" thickBot="1"/>
    <row r="3150" ht="81.75" customHeight="1" thickBot="1"/>
    <row r="3151" ht="81.75" customHeight="1" thickBot="1"/>
    <row r="3152" ht="81.75" customHeight="1" thickBot="1"/>
    <row r="3153" ht="81.75" customHeight="1" thickBot="1"/>
    <row r="3154" ht="81.75" customHeight="1" thickBot="1"/>
    <row r="3155" ht="81.75" customHeight="1" thickBot="1"/>
    <row r="3156" ht="81.75" customHeight="1" thickBot="1"/>
    <row r="3157" ht="81.75" customHeight="1" thickBot="1"/>
    <row r="3158" ht="81.75" customHeight="1" thickBot="1"/>
    <row r="3159" ht="81.75" customHeight="1" thickBot="1"/>
    <row r="3160" ht="81.75" customHeight="1" thickBot="1"/>
    <row r="3161" ht="81.75" customHeight="1" thickBot="1"/>
    <row r="3162" ht="81.75" customHeight="1" thickBot="1"/>
    <row r="3163" ht="81.75" customHeight="1" thickBot="1"/>
    <row r="3164" ht="81.75" customHeight="1" thickBot="1"/>
    <row r="3165" ht="81.75" customHeight="1" thickBot="1"/>
    <row r="3166" ht="81.75" customHeight="1" thickBot="1"/>
    <row r="3167" ht="81.75" customHeight="1" thickBot="1"/>
    <row r="3168" ht="81.75" customHeight="1" thickBot="1"/>
    <row r="3169" ht="81.75" customHeight="1" thickBot="1"/>
    <row r="3170" ht="81.75" customHeight="1" thickBot="1"/>
    <row r="3171" ht="81.75" customHeight="1" thickBot="1"/>
    <row r="3172" ht="81.75" customHeight="1" thickBot="1"/>
    <row r="3173" ht="81.75" customHeight="1" thickBot="1"/>
    <row r="3174" ht="81.75" customHeight="1" thickBot="1"/>
    <row r="3175" ht="81.75" customHeight="1" thickBot="1"/>
    <row r="3176" ht="81.75" customHeight="1" thickBot="1"/>
    <row r="3177" ht="81.75" customHeight="1" thickBot="1"/>
    <row r="3178" ht="81.75" customHeight="1" thickBot="1"/>
    <row r="3179" ht="81.75" customHeight="1" thickBot="1"/>
    <row r="3180" ht="81.75" customHeight="1" thickBot="1"/>
    <row r="3181" ht="81.75" customHeight="1" thickBot="1"/>
    <row r="3182" ht="81.75" customHeight="1" thickBot="1"/>
    <row r="3183" ht="81.75" customHeight="1" thickBot="1"/>
    <row r="3184" ht="81.75" customHeight="1" thickBot="1"/>
    <row r="3185" ht="81.75" customHeight="1" thickBot="1"/>
    <row r="3186" ht="81.75" customHeight="1" thickBot="1"/>
    <row r="3187" ht="81.75" customHeight="1" thickBot="1"/>
    <row r="3188" ht="81.75" customHeight="1" thickBot="1"/>
    <row r="3189" ht="81.75" customHeight="1" thickBot="1"/>
    <row r="3190" ht="81.75" customHeight="1" thickBot="1"/>
    <row r="3191" ht="81.75" customHeight="1" thickBot="1"/>
    <row r="3192" ht="81.75" customHeight="1" thickBot="1"/>
    <row r="3193" ht="81.75" customHeight="1" thickBot="1"/>
    <row r="3194" ht="81.75" customHeight="1" thickBot="1"/>
    <row r="3195" ht="81.75" customHeight="1" thickBot="1"/>
    <row r="3196" ht="81.75" customHeight="1" thickBot="1"/>
    <row r="3197" ht="81.75" customHeight="1" thickBot="1"/>
    <row r="3198" ht="81.75" customHeight="1" thickBot="1"/>
    <row r="3199" ht="81.75" customHeight="1" thickBot="1"/>
    <row r="3200" ht="81.75" customHeight="1" thickBot="1"/>
    <row r="3201" ht="81.75" customHeight="1" thickBot="1"/>
    <row r="3202" ht="81.75" customHeight="1" thickBot="1"/>
    <row r="3203" ht="81.75" customHeight="1" thickBot="1"/>
    <row r="3204" ht="81.75" customHeight="1" thickBot="1"/>
    <row r="3205" ht="81.75" customHeight="1" thickBot="1"/>
    <row r="3206" ht="81.75" customHeight="1" thickBot="1"/>
    <row r="3207" ht="81.75" customHeight="1" thickBot="1"/>
    <row r="3208" ht="81.75" customHeight="1" thickBot="1"/>
    <row r="3209" ht="81.75" customHeight="1" thickBot="1"/>
    <row r="3210" ht="81.75" customHeight="1" thickBot="1"/>
    <row r="3211" ht="81.75" customHeight="1" thickBot="1"/>
    <row r="3212" ht="81.75" customHeight="1" thickBot="1"/>
    <row r="3213" ht="81.75" customHeight="1" thickBot="1"/>
    <row r="3214" ht="81.75" customHeight="1" thickBot="1"/>
    <row r="3215" ht="81.75" customHeight="1" thickBot="1"/>
    <row r="3216" ht="81.75" customHeight="1" thickBot="1"/>
    <row r="3217" ht="81.75" customHeight="1" thickBot="1"/>
    <row r="3218" ht="81.75" customHeight="1" thickBot="1"/>
    <row r="3219" ht="81.75" customHeight="1" thickBot="1"/>
    <row r="3220" ht="81.75" customHeight="1" thickBot="1"/>
    <row r="3221" ht="81.75" customHeight="1" thickBot="1"/>
    <row r="3222" ht="81.75" customHeight="1" thickBot="1"/>
    <row r="3223" ht="81.75" customHeight="1" thickBot="1"/>
    <row r="3224" ht="81.75" customHeight="1" thickBot="1"/>
    <row r="3225" ht="81.75" customHeight="1" thickBot="1"/>
    <row r="3226" ht="81.75" customHeight="1" thickBot="1"/>
    <row r="3227" ht="81.75" customHeight="1" thickBot="1"/>
    <row r="3228" ht="81.75" customHeight="1" thickBot="1"/>
    <row r="3229" ht="81.75" customHeight="1" thickBot="1"/>
    <row r="3230" ht="81.75" customHeight="1" thickBot="1"/>
    <row r="3231" ht="81.75" customHeight="1" thickBot="1"/>
    <row r="3232" ht="81.75" customHeight="1" thickBot="1"/>
    <row r="3233" ht="81.75" customHeight="1" thickBot="1"/>
    <row r="3234" ht="81.75" customHeight="1" thickBot="1"/>
    <row r="3235" ht="81.75" customHeight="1" thickBot="1"/>
    <row r="3236" ht="81.75" customHeight="1" thickBot="1"/>
    <row r="3237" ht="81.75" customHeight="1" thickBot="1"/>
    <row r="3238" ht="81.75" customHeight="1" thickBot="1"/>
    <row r="3239" ht="81.75" customHeight="1" thickBot="1"/>
    <row r="3240" ht="81.75" customHeight="1" thickBot="1"/>
    <row r="3241" ht="81.75" customHeight="1" thickBot="1"/>
    <row r="3242" ht="81.75" customHeight="1" thickBot="1"/>
    <row r="3243" ht="81.75" customHeight="1" thickBot="1"/>
    <row r="3244" ht="81.75" customHeight="1" thickBot="1"/>
    <row r="3245" ht="81.75" customHeight="1" thickBot="1"/>
    <row r="3246" ht="81.75" customHeight="1" thickBot="1"/>
    <row r="3247" ht="81.75" customHeight="1" thickBot="1"/>
    <row r="3248" ht="81.75" customHeight="1" thickBot="1"/>
    <row r="3249" ht="81.75" customHeight="1" thickBot="1"/>
    <row r="3250" ht="81.75" customHeight="1" thickBot="1"/>
    <row r="3251" ht="81.75" customHeight="1" thickBot="1"/>
    <row r="3252" ht="81.75" customHeight="1" thickBot="1"/>
    <row r="3253" ht="81.75" customHeight="1" thickBot="1"/>
    <row r="3254" ht="81.75" customHeight="1" thickBot="1"/>
    <row r="3255" ht="81.75" customHeight="1" thickBot="1"/>
    <row r="3256" ht="81.75" customHeight="1" thickBot="1"/>
    <row r="3257" ht="81.75" customHeight="1" thickBot="1"/>
    <row r="3258" ht="81.75" customHeight="1" thickBot="1"/>
    <row r="3259" ht="81.75" customHeight="1" thickBot="1"/>
    <row r="3260" ht="81.75" customHeight="1" thickBot="1"/>
    <row r="3261" ht="81.75" customHeight="1" thickBot="1"/>
    <row r="3262" ht="81.75" customHeight="1" thickBot="1"/>
    <row r="3263" ht="81.75" customHeight="1" thickBot="1"/>
    <row r="3264" ht="81.75" customHeight="1" thickBot="1"/>
    <row r="3265" ht="81.75" customHeight="1" thickBot="1"/>
    <row r="3266" ht="81.75" customHeight="1" thickBot="1"/>
    <row r="3267" ht="81.75" customHeight="1" thickBot="1"/>
    <row r="3268" ht="81.75" customHeight="1" thickBot="1"/>
    <row r="3269" ht="81.75" customHeight="1" thickBot="1"/>
    <row r="3270" ht="81.75" customHeight="1" thickBot="1"/>
    <row r="3271" ht="81.75" customHeight="1" thickBot="1"/>
    <row r="3272" ht="81.75" customHeight="1" thickBot="1"/>
    <row r="3273" ht="81.75" customHeight="1" thickBot="1"/>
    <row r="3274" ht="81.75" customHeight="1" thickBot="1"/>
    <row r="3275" ht="81.75" customHeight="1" thickBot="1"/>
    <row r="3276" ht="81.75" customHeight="1" thickBot="1"/>
    <row r="3277" ht="81.75" customHeight="1" thickBot="1"/>
    <row r="3278" ht="81.75" customHeight="1" thickBot="1"/>
    <row r="3279" ht="81.75" customHeight="1" thickBot="1"/>
    <row r="3280" ht="81.75" customHeight="1" thickBot="1"/>
    <row r="3281" ht="81.75" customHeight="1" thickBot="1"/>
    <row r="3282" ht="81.75" customHeight="1" thickBot="1"/>
    <row r="3283" ht="81.75" customHeight="1" thickBot="1"/>
    <row r="3284" ht="81.75" customHeight="1" thickBot="1"/>
    <row r="3285" ht="81.75" customHeight="1" thickBot="1"/>
    <row r="3286" ht="81.75" customHeight="1" thickBot="1"/>
    <row r="3287" ht="81.75" customHeight="1" thickBot="1"/>
    <row r="3288" ht="81.75" customHeight="1" thickBot="1"/>
    <row r="3289" ht="81.75" customHeight="1" thickBot="1"/>
    <row r="3290" ht="81.75" customHeight="1" thickBot="1"/>
    <row r="3291" ht="81.75" customHeight="1" thickBot="1"/>
    <row r="3292" ht="81.75" customHeight="1" thickBot="1"/>
    <row r="3293" ht="81.75" customHeight="1" thickBot="1"/>
    <row r="3294" ht="81.75" customHeight="1" thickBot="1"/>
    <row r="3295" ht="81.75" customHeight="1" thickBot="1"/>
    <row r="3296" ht="81.75" customHeight="1" thickBot="1"/>
    <row r="3297" ht="81.75" customHeight="1" thickBot="1"/>
    <row r="3298" ht="81.75" customHeight="1" thickBot="1"/>
    <row r="3299" ht="81.75" customHeight="1" thickBot="1"/>
    <row r="3300" ht="81.75" customHeight="1" thickBot="1"/>
    <row r="3301" ht="81.75" customHeight="1" thickBot="1"/>
    <row r="3302" ht="81.75" customHeight="1" thickBot="1"/>
    <row r="3303" ht="81.75" customHeight="1" thickBot="1"/>
    <row r="3304" ht="81.75" customHeight="1" thickBot="1"/>
    <row r="3305" ht="81.75" customHeight="1" thickBot="1"/>
    <row r="3306" ht="81.75" customHeight="1" thickBot="1"/>
    <row r="3307" ht="81.75" customHeight="1" thickBot="1"/>
    <row r="3308" ht="81.75" customHeight="1" thickBot="1"/>
    <row r="3309" ht="81.75" customHeight="1" thickBot="1"/>
    <row r="3310" ht="81.75" customHeight="1" thickBot="1"/>
    <row r="3311" ht="81.75" customHeight="1" thickBot="1"/>
    <row r="3312" ht="81.75" customHeight="1" thickBot="1"/>
    <row r="3313" ht="81.75" customHeight="1" thickBot="1"/>
    <row r="3314" ht="81.75" customHeight="1" thickBot="1"/>
    <row r="3315" ht="81.75" customHeight="1" thickBot="1"/>
    <row r="3316" ht="81.75" customHeight="1" thickBot="1"/>
    <row r="3317" ht="81.75" customHeight="1" thickBot="1"/>
    <row r="3318" ht="81.75" customHeight="1" thickBot="1"/>
    <row r="3319" ht="81.75" customHeight="1" thickBot="1"/>
    <row r="3320" ht="81.75" customHeight="1" thickBot="1"/>
    <row r="3321" ht="81.75" customHeight="1" thickBot="1"/>
    <row r="3322" ht="81.75" customHeight="1" thickBot="1"/>
    <row r="3323" ht="81.75" customHeight="1" thickBot="1"/>
    <row r="3324" ht="81.75" customHeight="1" thickBot="1"/>
    <row r="3325" ht="81.75" customHeight="1" thickBot="1"/>
    <row r="3326" ht="81.75" customHeight="1" thickBot="1"/>
    <row r="3327" ht="81.75" customHeight="1" thickBot="1"/>
    <row r="3328" ht="81.75" customHeight="1" thickBot="1"/>
    <row r="3329" ht="81.75" customHeight="1" thickBot="1"/>
    <row r="3330" ht="81.75" customHeight="1" thickBot="1"/>
    <row r="3331" ht="81.75" customHeight="1" thickBot="1"/>
    <row r="3332" ht="81.75" customHeight="1" thickBot="1"/>
    <row r="3333" ht="81.75" customHeight="1" thickBot="1"/>
    <row r="3334" ht="81.75" customHeight="1" thickBot="1"/>
    <row r="3335" ht="81.75" customHeight="1" thickBot="1"/>
    <row r="3336" ht="81.75" customHeight="1" thickBot="1"/>
    <row r="3337" ht="81.75" customHeight="1" thickBot="1"/>
    <row r="3338" ht="81.75" customHeight="1" thickBot="1"/>
    <row r="3339" ht="81.75" customHeight="1" thickBot="1"/>
    <row r="3340" ht="81.75" customHeight="1" thickBot="1"/>
    <row r="3341" ht="81.75" customHeight="1" thickBot="1"/>
    <row r="3342" ht="81.75" customHeight="1" thickBot="1"/>
    <row r="3343" ht="81.75" customHeight="1" thickBot="1"/>
    <row r="3344" ht="81.75" customHeight="1" thickBot="1"/>
    <row r="3345" ht="81.75" customHeight="1" thickBot="1"/>
    <row r="3346" ht="81.75" customHeight="1" thickBot="1"/>
    <row r="3347" ht="81.75" customHeight="1" thickBot="1"/>
    <row r="3348" ht="81.75" customHeight="1" thickBot="1"/>
    <row r="3349" ht="81.75" customHeight="1" thickBot="1"/>
    <row r="3350" ht="81.75" customHeight="1" thickBot="1"/>
    <row r="3351" ht="81.75" customHeight="1" thickBot="1"/>
    <row r="3352" ht="81.75" customHeight="1" thickBot="1"/>
    <row r="3353" ht="81.75" customHeight="1" thickBot="1"/>
    <row r="3354" ht="81.75" customHeight="1" thickBot="1"/>
    <row r="3355" ht="81.75" customHeight="1" thickBot="1"/>
    <row r="3356" ht="81.75" customHeight="1" thickBot="1"/>
    <row r="3357" ht="81.75" customHeight="1" thickBot="1"/>
    <row r="3358" ht="81.75" customHeight="1" thickBot="1"/>
    <row r="3359" ht="81.75" customHeight="1" thickBot="1"/>
    <row r="3360" ht="81.75" customHeight="1" thickBot="1"/>
    <row r="3361" ht="81.75" customHeight="1" thickBot="1"/>
    <row r="3362" ht="81.75" customHeight="1" thickBot="1"/>
    <row r="3363" ht="81.75" customHeight="1" thickBot="1"/>
    <row r="3364" ht="81.75" customHeight="1" thickBot="1"/>
    <row r="3365" ht="81.75" customHeight="1" thickBot="1"/>
    <row r="3366" ht="81.75" customHeight="1" thickBot="1"/>
    <row r="3367" ht="81.75" customHeight="1" thickBot="1"/>
    <row r="3368" ht="81.75" customHeight="1" thickBot="1"/>
    <row r="3369" ht="81.75" customHeight="1" thickBot="1"/>
    <row r="3370" ht="81.75" customHeight="1" thickBot="1"/>
    <row r="3371" ht="81.75" customHeight="1" thickBot="1"/>
    <row r="3372" ht="81.75" customHeight="1" thickBot="1"/>
    <row r="3373" ht="81.75" customHeight="1" thickBot="1"/>
    <row r="3374" ht="81.75" customHeight="1" thickBot="1"/>
    <row r="3375" ht="81.75" customHeight="1" thickBot="1"/>
    <row r="3376" ht="81.75" customHeight="1" thickBot="1"/>
    <row r="3377" ht="81.75" customHeight="1" thickBot="1"/>
    <row r="3378" ht="81.75" customHeight="1" thickBot="1"/>
    <row r="3379" ht="81.75" customHeight="1" thickBot="1"/>
    <row r="3380" ht="81.75" customHeight="1" thickBot="1"/>
    <row r="3381" ht="81.75" customHeight="1" thickBot="1"/>
    <row r="3382" ht="81.75" customHeight="1" thickBot="1"/>
    <row r="3383" ht="81.75" customHeight="1" thickBot="1"/>
    <row r="3384" ht="81.75" customHeight="1" thickBot="1"/>
    <row r="3385" ht="81.75" customHeight="1" thickBot="1"/>
    <row r="3386" ht="81.75" customHeight="1" thickBot="1"/>
    <row r="3387" ht="81.75" customHeight="1" thickBot="1"/>
    <row r="3388" ht="81.75" customHeight="1" thickBot="1"/>
    <row r="3389" ht="81.75" customHeight="1" thickBot="1"/>
    <row r="3390" ht="81.75" customHeight="1" thickBot="1"/>
    <row r="3391" ht="81.75" customHeight="1" thickBot="1"/>
    <row r="3392" ht="81.75" customHeight="1" thickBot="1"/>
    <row r="3393" ht="81.75" customHeight="1" thickBot="1"/>
    <row r="3394" ht="81.75" customHeight="1" thickBot="1"/>
    <row r="3395" ht="81.75" customHeight="1" thickBot="1"/>
    <row r="3396" ht="81.75" customHeight="1" thickBot="1"/>
    <row r="3397" ht="81.75" customHeight="1" thickBot="1"/>
    <row r="3398" ht="81.75" customHeight="1" thickBot="1"/>
    <row r="3399" ht="81.75" customHeight="1" thickBot="1"/>
    <row r="3400" ht="81.75" customHeight="1" thickBot="1"/>
    <row r="3401" ht="81.75" customHeight="1" thickBot="1"/>
    <row r="3402" ht="81.75" customHeight="1" thickBot="1"/>
    <row r="3403" ht="81.75" customHeight="1" thickBot="1"/>
    <row r="3404" ht="81.75" customHeight="1" thickBot="1"/>
    <row r="3405" ht="81.75" customHeight="1" thickBot="1"/>
    <row r="3406" ht="81.75" customHeight="1" thickBot="1"/>
    <row r="3407" ht="81.75" customHeight="1" thickBot="1"/>
    <row r="3408" ht="81.75" customHeight="1" thickBot="1"/>
    <row r="3409" ht="81.75" customHeight="1" thickBot="1"/>
    <row r="3410" ht="81.75" customHeight="1" thickBot="1"/>
    <row r="3411" ht="81.75" customHeight="1" thickBot="1"/>
    <row r="3412" ht="81.75" customHeight="1" thickBot="1"/>
    <row r="3413" ht="81.75" customHeight="1" thickBot="1"/>
    <row r="3414" ht="81.75" customHeight="1" thickBot="1"/>
    <row r="3415" ht="81.75" customHeight="1" thickBot="1"/>
    <row r="3416" ht="81.75" customHeight="1" thickBot="1"/>
    <row r="3417" ht="81.75" customHeight="1" thickBot="1"/>
    <row r="3418" ht="81.75" customHeight="1" thickBot="1"/>
    <row r="3419" ht="81.75" customHeight="1" thickBot="1"/>
    <row r="3420" ht="81.75" customHeight="1" thickBot="1"/>
    <row r="3421" ht="81.75" customHeight="1" thickBot="1"/>
    <row r="3422" ht="81.75" customHeight="1" thickBot="1"/>
    <row r="3423" ht="81.75" customHeight="1" thickBot="1"/>
    <row r="3424" ht="81.75" customHeight="1" thickBot="1"/>
    <row r="3425" ht="81.75" customHeight="1" thickBot="1"/>
    <row r="3426" ht="81.75" customHeight="1" thickBot="1"/>
    <row r="3427" ht="81.75" customHeight="1" thickBot="1"/>
    <row r="3428" ht="81.75" customHeight="1" thickBot="1"/>
    <row r="3429" ht="81.75" customHeight="1" thickBot="1"/>
    <row r="3430" ht="81.75" customHeight="1" thickBot="1"/>
    <row r="3431" ht="81.75" customHeight="1" thickBot="1"/>
    <row r="3432" ht="81.75" customHeight="1" thickBot="1"/>
    <row r="3433" ht="81.75" customHeight="1" thickBot="1"/>
    <row r="3434" ht="81.75" customHeight="1" thickBot="1"/>
    <row r="3435" ht="81.75" customHeight="1" thickBot="1"/>
    <row r="3436" ht="81.75" customHeight="1" thickBot="1"/>
    <row r="3437" ht="81.75" customHeight="1" thickBot="1"/>
    <row r="3438" ht="81.75" customHeight="1" thickBot="1"/>
    <row r="3439" ht="81.75" customHeight="1" thickBot="1"/>
    <row r="3440" ht="81.75" customHeight="1" thickBot="1"/>
    <row r="3441" ht="81.75" customHeight="1" thickBot="1"/>
    <row r="3442" ht="81.75" customHeight="1" thickBot="1"/>
    <row r="3443" ht="81.75" customHeight="1" thickBot="1"/>
    <row r="3444" ht="81.75" customHeight="1" thickBot="1"/>
    <row r="3445" ht="81.75" customHeight="1" thickBot="1"/>
    <row r="3446" ht="81.75" customHeight="1" thickBot="1"/>
    <row r="3447" ht="81.75" customHeight="1" thickBot="1"/>
    <row r="3448" ht="81.75" customHeight="1" thickBot="1"/>
    <row r="3449" ht="81.75" customHeight="1" thickBot="1"/>
    <row r="3450" ht="81.75" customHeight="1" thickBot="1"/>
    <row r="3451" ht="81.75" customHeight="1" thickBot="1"/>
    <row r="3452" ht="81.75" customHeight="1" thickBot="1"/>
    <row r="3453" ht="81.75" customHeight="1" thickBot="1"/>
    <row r="3454" ht="81.75" customHeight="1" thickBot="1"/>
    <row r="3455" ht="81.75" customHeight="1" thickBot="1"/>
    <row r="3456" ht="81.75" customHeight="1" thickBot="1"/>
    <row r="3457" ht="81.75" customHeight="1" thickBot="1"/>
    <row r="3458" ht="81.75" customHeight="1" thickBot="1"/>
    <row r="3459" ht="81.75" customHeight="1" thickBot="1"/>
    <row r="3460" ht="81.75" customHeight="1" thickBot="1"/>
    <row r="3461" ht="81.75" customHeight="1" thickBot="1"/>
    <row r="3462" ht="81.75" customHeight="1" thickBot="1"/>
    <row r="3463" ht="81.75" customHeight="1" thickBot="1"/>
    <row r="3464" ht="81.75" customHeight="1" thickBot="1"/>
    <row r="3465" ht="81.75" customHeight="1" thickBot="1"/>
    <row r="3466" ht="81.75" customHeight="1" thickBot="1"/>
    <row r="3467" ht="81.75" customHeight="1" thickBot="1"/>
    <row r="3468" ht="81.75" customHeight="1" thickBot="1"/>
    <row r="3469" ht="81.75" customHeight="1" thickBot="1"/>
    <row r="3470" ht="81.75" customHeight="1" thickBot="1"/>
    <row r="3471" ht="81.75" customHeight="1" thickBot="1"/>
    <row r="3472" ht="81.75" customHeight="1" thickBot="1"/>
    <row r="3473" ht="81.75" customHeight="1" thickBot="1"/>
    <row r="3474" ht="81.75" customHeight="1" thickBot="1"/>
    <row r="3475" ht="81.75" customHeight="1" thickBot="1"/>
    <row r="3476" ht="81.75" customHeight="1" thickBot="1"/>
    <row r="3477" ht="81.75" customHeight="1" thickBot="1"/>
    <row r="3478" ht="81.75" customHeight="1" thickBot="1"/>
    <row r="3479" ht="81.75" customHeight="1" thickBot="1"/>
    <row r="3480" ht="81.75" customHeight="1" thickBot="1"/>
    <row r="3481" ht="81.75" customHeight="1" thickBot="1"/>
    <row r="3482" ht="81.75" customHeight="1" thickBot="1"/>
    <row r="3483" ht="81.75" customHeight="1" thickBot="1"/>
    <row r="3484" ht="81.75" customHeight="1" thickBot="1"/>
    <row r="3485" ht="81.75" customHeight="1" thickBot="1"/>
    <row r="3486" ht="81.75" customHeight="1" thickBot="1"/>
    <row r="3487" ht="81.75" customHeight="1" thickBot="1"/>
    <row r="3488" ht="81.75" customHeight="1" thickBot="1"/>
    <row r="3489" ht="81.75" customHeight="1" thickBot="1"/>
    <row r="3490" ht="81.75" customHeight="1" thickBot="1"/>
    <row r="3491" ht="81.75" customHeight="1" thickBot="1"/>
    <row r="3492" ht="81.75" customHeight="1" thickBot="1"/>
    <row r="3493" ht="81.75" customHeight="1" thickBot="1"/>
    <row r="3494" ht="81.75" customHeight="1" thickBot="1"/>
    <row r="3495" ht="81.75" customHeight="1" thickBot="1"/>
    <row r="3496" ht="81.75" customHeight="1" thickBot="1"/>
    <row r="3497" ht="81.75" customHeight="1" thickBot="1"/>
    <row r="3498" ht="81.75" customHeight="1" thickBot="1"/>
    <row r="3499" ht="81.75" customHeight="1" thickBot="1"/>
    <row r="3500" ht="81.75" customHeight="1" thickBot="1"/>
    <row r="3501" ht="81.75" customHeight="1" thickBot="1"/>
    <row r="3502" ht="81.75" customHeight="1" thickBot="1"/>
    <row r="3503" ht="81.75" customHeight="1" thickBot="1"/>
    <row r="3504" ht="81.75" customHeight="1" thickBot="1"/>
    <row r="3505" ht="81.75" customHeight="1" thickBot="1"/>
    <row r="3506" ht="81.75" customHeight="1" thickBot="1"/>
    <row r="3507" ht="81.75" customHeight="1" thickBot="1"/>
    <row r="3508" ht="81.75" customHeight="1" thickBot="1"/>
    <row r="3509" ht="81.75" customHeight="1" thickBot="1"/>
    <row r="3510" ht="81.75" customHeight="1" thickBot="1"/>
    <row r="3511" ht="81.75" customHeight="1" thickBot="1"/>
    <row r="3512" ht="81.75" customHeight="1" thickBot="1"/>
    <row r="3513" ht="81.75" customHeight="1" thickBot="1"/>
    <row r="3514" ht="81.75" customHeight="1" thickBot="1"/>
    <row r="3515" ht="81.75" customHeight="1" thickBot="1"/>
    <row r="3516" ht="81.75" customHeight="1" thickBot="1"/>
    <row r="3517" ht="81.75" customHeight="1" thickBot="1"/>
    <row r="3518" ht="81.75" customHeight="1" thickBot="1"/>
    <row r="3519" ht="81.75" customHeight="1" thickBot="1"/>
    <row r="3520" ht="81.75" customHeight="1" thickBot="1"/>
    <row r="3521" ht="81.75" customHeight="1" thickBot="1"/>
    <row r="3522" ht="81.75" customHeight="1" thickBot="1"/>
    <row r="3523" ht="81.75" customHeight="1" thickBot="1"/>
    <row r="3524" ht="81.75" customHeight="1" thickBot="1"/>
    <row r="3525" ht="81.75" customHeight="1" thickBot="1"/>
    <row r="3526" ht="81.75" customHeight="1" thickBot="1"/>
    <row r="3527" ht="81.75" customHeight="1" thickBot="1"/>
    <row r="3528" ht="81.75" customHeight="1" thickBot="1"/>
    <row r="3529" ht="81.75" customHeight="1" thickBot="1"/>
    <row r="3530" ht="81.75" customHeight="1" thickBot="1"/>
    <row r="3531" ht="81.75" customHeight="1" thickBot="1"/>
    <row r="3532" ht="81.75" customHeight="1" thickBot="1"/>
    <row r="3533" ht="81.75" customHeight="1" thickBot="1"/>
    <row r="3534" ht="81.75" customHeight="1" thickBot="1"/>
    <row r="3535" ht="81.75" customHeight="1" thickBot="1"/>
    <row r="3536" ht="81.75" customHeight="1" thickBot="1"/>
    <row r="3537" ht="81.75" customHeight="1" thickBot="1"/>
    <row r="3538" ht="81.75" customHeight="1" thickBot="1"/>
    <row r="3539" ht="81.75" customHeight="1" thickBot="1"/>
    <row r="3540" ht="81.75" customHeight="1" thickBot="1"/>
    <row r="3541" ht="81.75" customHeight="1" thickBot="1"/>
    <row r="3542" ht="81.75" customHeight="1" thickBot="1"/>
    <row r="3543" ht="81.75" customHeight="1" thickBot="1"/>
    <row r="3544" ht="81.75" customHeight="1" thickBot="1"/>
    <row r="3545" ht="81.75" customHeight="1" thickBot="1"/>
    <row r="3546" ht="81.75" customHeight="1" thickBot="1"/>
    <row r="3547" ht="81.75" customHeight="1" thickBot="1"/>
    <row r="3548" ht="81.75" customHeight="1" thickBot="1"/>
    <row r="3549" ht="81.75" customHeight="1" thickBot="1"/>
    <row r="3550" ht="81.75" customHeight="1" thickBot="1"/>
    <row r="3551" ht="81.75" customHeight="1" thickBot="1"/>
    <row r="3552" ht="81.75" customHeight="1" thickBot="1"/>
    <row r="3553" ht="81.75" customHeight="1" thickBot="1"/>
    <row r="3554" ht="81.75" customHeight="1" thickBot="1"/>
    <row r="3555" ht="81.75" customHeight="1" thickBot="1"/>
    <row r="3556" ht="81.75" customHeight="1" thickBot="1"/>
    <row r="3557" ht="81.75" customHeight="1" thickBot="1"/>
    <row r="3558" ht="81.75" customHeight="1" thickBot="1"/>
    <row r="3559" ht="81.75" customHeight="1" thickBot="1"/>
    <row r="3560" ht="81.75" customHeight="1" thickBot="1"/>
    <row r="3561" ht="81.75" customHeight="1" thickBot="1"/>
    <row r="3562" ht="81.75" customHeight="1" thickBot="1"/>
    <row r="3563" ht="81.75" customHeight="1" thickBot="1"/>
    <row r="3564" ht="81.75" customHeight="1" thickBot="1"/>
    <row r="3565" ht="81.75" customHeight="1" thickBot="1"/>
    <row r="3566" ht="81.75" customHeight="1" thickBot="1"/>
    <row r="3567" ht="81.75" customHeight="1" thickBot="1"/>
    <row r="3568" ht="81.75" customHeight="1" thickBot="1"/>
    <row r="3569" ht="81.75" customHeight="1" thickBot="1"/>
    <row r="3570" ht="81.75" customHeight="1" thickBot="1"/>
    <row r="3571" ht="81.75" customHeight="1" thickBot="1"/>
    <row r="3572" ht="81.75" customHeight="1" thickBot="1"/>
    <row r="3573" ht="81.75" customHeight="1" thickBot="1"/>
    <row r="3574" ht="81.75" customHeight="1" thickBot="1"/>
    <row r="3575" ht="81.75" customHeight="1" thickBot="1"/>
    <row r="3576" ht="81.75" customHeight="1" thickBot="1"/>
    <row r="3577" ht="81.75" customHeight="1" thickBot="1"/>
    <row r="3578" ht="81.75" customHeight="1" thickBot="1"/>
    <row r="3579" ht="81.75" customHeight="1" thickBot="1"/>
    <row r="3580" ht="81.75" customHeight="1" thickBot="1"/>
    <row r="3581" ht="81.75" customHeight="1" thickBot="1"/>
    <row r="3582" ht="81.75" customHeight="1" thickBot="1"/>
    <row r="3583" ht="81.75" customHeight="1" thickBot="1"/>
    <row r="3584" ht="81.75" customHeight="1" thickBot="1"/>
    <row r="3585" ht="81.75" customHeight="1" thickBot="1"/>
    <row r="3586" ht="81.75" customHeight="1" thickBot="1"/>
    <row r="3587" ht="81.75" customHeight="1" thickBot="1"/>
    <row r="3588" ht="81.75" customHeight="1" thickBot="1"/>
    <row r="3589" ht="81.75" customHeight="1" thickBot="1"/>
    <row r="3590" ht="81.75" customHeight="1" thickBot="1"/>
    <row r="3591" ht="81.75" customHeight="1" thickBot="1"/>
    <row r="3592" ht="81.75" customHeight="1" thickBot="1"/>
    <row r="3593" ht="81.75" customHeight="1" thickBot="1"/>
    <row r="3594" ht="81.75" customHeight="1" thickBot="1"/>
    <row r="3595" ht="81.75" customHeight="1" thickBot="1"/>
    <row r="3596" ht="81.75" customHeight="1" thickBot="1"/>
    <row r="3597" ht="81.75" customHeight="1" thickBot="1"/>
    <row r="3598" ht="81.75" customHeight="1" thickBot="1"/>
    <row r="3599" ht="81.75" customHeight="1" thickBot="1"/>
    <row r="3600" ht="81.75" customHeight="1" thickBot="1"/>
    <row r="3601" ht="81.75" customHeight="1" thickBot="1"/>
    <row r="3602" ht="81.75" customHeight="1" thickBot="1"/>
    <row r="3603" ht="81.75" customHeight="1" thickBot="1"/>
    <row r="3604" ht="81.75" customHeight="1" thickBot="1"/>
    <row r="3605" ht="81.75" customHeight="1" thickBot="1"/>
    <row r="3606" ht="81.75" customHeight="1" thickBot="1"/>
    <row r="3607" ht="81.75" customHeight="1" thickBot="1"/>
    <row r="3608" ht="81.75" customHeight="1" thickBot="1"/>
    <row r="3609" ht="81.75" customHeight="1" thickBot="1"/>
    <row r="3610" ht="81.75" customHeight="1" thickBot="1"/>
    <row r="3611" ht="81.75" customHeight="1" thickBot="1"/>
    <row r="3612" ht="81.75" customHeight="1" thickBot="1"/>
    <row r="3613" ht="81.75" customHeight="1" thickBot="1"/>
    <row r="3614" ht="81.75" customHeight="1" thickBot="1"/>
    <row r="3615" ht="81.75" customHeight="1" thickBot="1"/>
    <row r="3616" ht="81.75" customHeight="1" thickBot="1"/>
    <row r="3617" ht="81.75" customHeight="1" thickBot="1"/>
    <row r="3618" ht="81.75" customHeight="1" thickBot="1"/>
    <row r="3619" ht="81.75" customHeight="1" thickBot="1"/>
    <row r="3620" ht="81.75" customHeight="1" thickBot="1"/>
    <row r="3621" ht="81.75" customHeight="1" thickBot="1"/>
    <row r="3622" ht="81.75" customHeight="1" thickBot="1"/>
    <row r="3623" ht="81.75" customHeight="1" thickBot="1"/>
    <row r="3624" ht="81.75" customHeight="1" thickBot="1"/>
    <row r="3625" ht="81.75" customHeight="1" thickBot="1"/>
    <row r="3626" ht="81.75" customHeight="1" thickBot="1"/>
    <row r="3627" ht="81.75" customHeight="1" thickBot="1"/>
    <row r="3628" ht="81.75" customHeight="1" thickBot="1"/>
    <row r="3629" ht="81.75" customHeight="1" thickBot="1"/>
    <row r="3630" ht="81.75" customHeight="1" thickBot="1"/>
    <row r="3631" ht="81.75" customHeight="1" thickBot="1"/>
    <row r="3632" ht="81.75" customHeight="1" thickBot="1"/>
    <row r="3633" ht="81.75" customHeight="1" thickBot="1"/>
    <row r="3634" ht="81.75" customHeight="1" thickBot="1"/>
    <row r="3635" ht="81.75" customHeight="1" thickBot="1"/>
    <row r="3636" ht="81.75" customHeight="1" thickBot="1"/>
    <row r="3637" ht="81.75" customHeight="1" thickBot="1"/>
    <row r="3638" ht="81.75" customHeight="1" thickBot="1"/>
    <row r="3639" ht="81.75" customHeight="1" thickBot="1"/>
    <row r="3640" ht="81.75" customHeight="1" thickBot="1"/>
    <row r="3641" ht="81.75" customHeight="1" thickBot="1"/>
    <row r="3642" ht="81.75" customHeight="1" thickBot="1"/>
    <row r="3643" ht="81.75" customHeight="1" thickBot="1"/>
    <row r="3644" ht="81.75" customHeight="1" thickBot="1"/>
    <row r="3645" ht="81.75" customHeight="1" thickBot="1"/>
    <row r="3646" ht="81.75" customHeight="1" thickBot="1"/>
    <row r="3647" ht="81.75" customHeight="1" thickBot="1"/>
    <row r="3648" ht="81.75" customHeight="1" thickBot="1"/>
    <row r="3649" ht="81.75" customHeight="1" thickBot="1"/>
    <row r="3650" ht="81.75" customHeight="1" thickBot="1"/>
    <row r="3651" ht="81.75" customHeight="1" thickBot="1"/>
    <row r="3652" ht="81.75" customHeight="1" thickBot="1"/>
    <row r="3653" ht="81.75" customHeight="1" thickBot="1"/>
    <row r="3654" ht="81.75" customHeight="1" thickBot="1"/>
    <row r="3655" ht="81.75" customHeight="1" thickBot="1"/>
    <row r="3656" ht="81.75" customHeight="1" thickBot="1"/>
    <row r="3657" ht="81.75" customHeight="1" thickBot="1"/>
    <row r="3658" ht="81.75" customHeight="1" thickBot="1"/>
    <row r="3659" ht="81.75" customHeight="1" thickBot="1"/>
    <row r="3660" ht="81.75" customHeight="1" thickBot="1"/>
    <row r="3661" ht="81.75" customHeight="1" thickBot="1"/>
    <row r="3662" ht="81.75" customHeight="1" thickBot="1"/>
    <row r="3663" ht="81.75" customHeight="1" thickBot="1"/>
    <row r="3664" ht="81.75" customHeight="1" thickBot="1"/>
    <row r="3665" ht="81.75" customHeight="1" thickBot="1"/>
    <row r="3666" ht="81.75" customHeight="1" thickBot="1"/>
    <row r="3667" ht="81.75" customHeight="1" thickBot="1"/>
    <row r="3668" ht="81.75" customHeight="1" thickBot="1"/>
    <row r="3669" ht="81.75" customHeight="1" thickBot="1"/>
    <row r="3670" ht="81.75" customHeight="1" thickBot="1"/>
    <row r="3671" ht="81.75" customHeight="1" thickBot="1"/>
    <row r="3672" ht="81.75" customHeight="1" thickBot="1"/>
    <row r="3673" ht="81.75" customHeight="1" thickBot="1"/>
    <row r="3674" ht="81.75" customHeight="1" thickBot="1"/>
    <row r="3675" ht="81.75" customHeight="1" thickBot="1"/>
    <row r="3676" ht="81.75" customHeight="1" thickBot="1"/>
    <row r="3677" ht="81.75" customHeight="1" thickBot="1"/>
    <row r="3678" ht="81.75" customHeight="1" thickBot="1"/>
    <row r="3679" ht="81.75" customHeight="1" thickBot="1"/>
    <row r="3680" ht="81.75" customHeight="1" thickBot="1"/>
    <row r="3681" ht="81.75" customHeight="1" thickBot="1"/>
    <row r="3682" ht="81.75" customHeight="1" thickBot="1"/>
    <row r="3683" ht="81.75" customHeight="1" thickBot="1"/>
    <row r="3684" ht="81.75" customHeight="1" thickBot="1"/>
    <row r="3685" ht="81.75" customHeight="1" thickBot="1"/>
    <row r="3686" ht="81.75" customHeight="1" thickBot="1"/>
    <row r="3687" ht="81.75" customHeight="1" thickBot="1"/>
    <row r="3688" ht="81.75" customHeight="1" thickBot="1"/>
    <row r="3689" ht="81.75" customHeight="1" thickBot="1"/>
    <row r="3690" ht="81.75" customHeight="1" thickBot="1"/>
    <row r="3691" ht="81.75" customHeight="1" thickBot="1"/>
    <row r="3692" ht="81.75" customHeight="1" thickBot="1"/>
    <row r="3693" ht="81.75" customHeight="1" thickBot="1"/>
    <row r="3694" ht="81.75" customHeight="1" thickBot="1"/>
    <row r="3695" ht="81.75" customHeight="1" thickBot="1"/>
    <row r="3696" ht="81.75" customHeight="1" thickBot="1"/>
    <row r="3697" ht="81.75" customHeight="1" thickBot="1"/>
    <row r="3698" ht="81.75" customHeight="1" thickBot="1"/>
    <row r="3699" ht="81.75" customHeight="1" thickBot="1"/>
    <row r="3700" ht="81.75" customHeight="1" thickBot="1"/>
    <row r="3701" ht="81.75" customHeight="1" thickBot="1"/>
    <row r="3702" ht="81.75" customHeight="1" thickBot="1"/>
    <row r="3703" ht="81.75" customHeight="1" thickBot="1"/>
    <row r="3704" ht="81.75" customHeight="1" thickBot="1"/>
    <row r="3705" ht="81.75" customHeight="1" thickBot="1"/>
    <row r="3706" ht="81.75" customHeight="1" thickBot="1"/>
    <row r="3707" ht="81.75" customHeight="1" thickBot="1"/>
    <row r="3708" ht="81.75" customHeight="1" thickBot="1"/>
    <row r="3709" ht="81.75" customHeight="1" thickBot="1"/>
    <row r="3710" ht="81.75" customHeight="1" thickBot="1"/>
    <row r="3711" ht="81.75" customHeight="1" thickBot="1"/>
    <row r="3712" ht="81.75" customHeight="1" thickBot="1"/>
    <row r="3713" ht="81.75" customHeight="1" thickBot="1"/>
    <row r="3714" ht="81.75" customHeight="1" thickBot="1"/>
    <row r="3715" ht="81.75" customHeight="1" thickBot="1"/>
    <row r="3716" ht="81.75" customHeight="1" thickBot="1"/>
    <row r="3717" ht="81.75" customHeight="1" thickBot="1"/>
    <row r="3718" ht="81.75" customHeight="1" thickBot="1"/>
    <row r="3719" ht="81.75" customHeight="1" thickBot="1"/>
    <row r="3720" ht="81.75" customHeight="1" thickBot="1"/>
    <row r="3721" ht="81.75" customHeight="1" thickBot="1"/>
    <row r="3722" ht="81.75" customHeight="1" thickBot="1"/>
    <row r="3723" ht="81.75" customHeight="1" thickBot="1"/>
    <row r="3724" ht="81.75" customHeight="1" thickBot="1"/>
    <row r="3725" ht="81.75" customHeight="1" thickBot="1"/>
    <row r="3726" ht="81.75" customHeight="1" thickBot="1"/>
    <row r="3727" ht="81.75" customHeight="1" thickBot="1"/>
    <row r="3728" ht="81.75" customHeight="1" thickBot="1"/>
    <row r="3729" ht="81.75" customHeight="1" thickBot="1"/>
    <row r="3730" ht="81.75" customHeight="1" thickBot="1"/>
    <row r="3731" ht="81.75" customHeight="1" thickBot="1"/>
    <row r="3732" ht="81.75" customHeight="1" thickBot="1"/>
    <row r="3733" ht="81.75" customHeight="1" thickBot="1"/>
    <row r="3734" ht="81.75" customHeight="1" thickBot="1"/>
    <row r="3735" ht="81.75" customHeight="1" thickBot="1"/>
    <row r="3736" ht="81.75" customHeight="1" thickBot="1"/>
    <row r="3737" ht="81.75" customHeight="1" thickBot="1"/>
    <row r="3738" ht="81.75" customHeight="1" thickBot="1"/>
    <row r="3739" ht="81.75" customHeight="1" thickBot="1"/>
    <row r="3740" ht="81.75" customHeight="1" thickBot="1"/>
    <row r="3741" ht="81.75" customHeight="1" thickBot="1"/>
    <row r="3742" ht="81.75" customHeight="1" thickBot="1"/>
    <row r="3743" ht="81.75" customHeight="1" thickBot="1"/>
    <row r="3744" ht="81.75" customHeight="1" thickBot="1"/>
    <row r="3745" ht="81.75" customHeight="1" thickBot="1"/>
    <row r="3746" ht="81.75" customHeight="1" thickBot="1"/>
    <row r="3747" ht="81.75" customHeight="1" thickBot="1"/>
    <row r="3748" ht="81.75" customHeight="1" thickBot="1"/>
    <row r="3749" ht="81.75" customHeight="1" thickBot="1"/>
    <row r="3750" ht="81.75" customHeight="1" thickBot="1"/>
    <row r="3751" ht="81.75" customHeight="1" thickBot="1"/>
    <row r="3752" ht="81.75" customHeight="1" thickBot="1"/>
    <row r="3753" ht="81.75" customHeight="1" thickBot="1"/>
    <row r="3754" ht="81.75" customHeight="1" thickBot="1"/>
    <row r="3755" ht="81.75" customHeight="1" thickBot="1"/>
    <row r="3756" ht="81.75" customHeight="1" thickBot="1"/>
    <row r="3757" ht="81.75" customHeight="1" thickBot="1"/>
    <row r="3758" ht="81.75" customHeight="1" thickBot="1"/>
    <row r="3759" ht="81.75" customHeight="1" thickBot="1"/>
    <row r="3760" ht="81.75" customHeight="1" thickBot="1"/>
    <row r="3761" ht="81.75" customHeight="1" thickBot="1"/>
    <row r="3762" ht="81.75" customHeight="1" thickBot="1"/>
    <row r="3763" ht="81.75" customHeight="1" thickBot="1"/>
    <row r="3764" ht="81.75" customHeight="1" thickBot="1"/>
    <row r="3765" ht="81.75" customHeight="1" thickBot="1"/>
    <row r="3766" ht="81.75" customHeight="1" thickBot="1"/>
    <row r="3767" ht="81.75" customHeight="1" thickBot="1"/>
    <row r="3768" ht="81.75" customHeight="1" thickBot="1"/>
    <row r="3769" ht="81.75" customHeight="1" thickBot="1"/>
    <row r="3770" ht="81.75" customHeight="1" thickBot="1"/>
    <row r="3771" ht="81.75" customHeight="1" thickBot="1"/>
    <row r="3772" ht="81.75" customHeight="1" thickBot="1"/>
    <row r="3773" ht="81.75" customHeight="1" thickBot="1"/>
    <row r="3774" ht="81.75" customHeight="1" thickBot="1"/>
    <row r="3775" ht="81.75" customHeight="1" thickBot="1"/>
    <row r="3776" ht="81.75" customHeight="1" thickBot="1"/>
    <row r="3777" ht="81.75" customHeight="1" thickBot="1"/>
    <row r="3778" ht="81.75" customHeight="1" thickBot="1"/>
    <row r="3779" ht="81.75" customHeight="1" thickBot="1"/>
    <row r="3780" ht="81.75" customHeight="1" thickBot="1"/>
    <row r="3781" ht="81.75" customHeight="1" thickBot="1"/>
    <row r="3782" ht="81.75" customHeight="1" thickBot="1"/>
    <row r="3783" ht="81.75" customHeight="1" thickBot="1"/>
    <row r="3784" ht="81.75" customHeight="1" thickBot="1"/>
    <row r="3785" ht="81.75" customHeight="1" thickBot="1"/>
    <row r="3786" ht="81.75" customHeight="1" thickBot="1"/>
    <row r="3787" ht="81.75" customHeight="1" thickBot="1"/>
    <row r="3788" ht="81.75" customHeight="1" thickBot="1"/>
    <row r="3789" ht="81.75" customHeight="1" thickBot="1"/>
    <row r="3790" ht="81.75" customHeight="1" thickBot="1"/>
    <row r="3791" ht="81.75" customHeight="1" thickBot="1"/>
    <row r="3792" ht="81.75" customHeight="1" thickBot="1"/>
    <row r="3793" ht="81.75" customHeight="1" thickBot="1"/>
    <row r="3794" ht="81.75" customHeight="1" thickBot="1"/>
    <row r="3795" ht="81.75" customHeight="1" thickBot="1"/>
    <row r="3796" ht="81.75" customHeight="1" thickBot="1"/>
    <row r="3797" ht="81.75" customHeight="1" thickBot="1"/>
    <row r="3798" ht="81.75" customHeight="1" thickBot="1"/>
    <row r="3799" ht="81.75" customHeight="1" thickBot="1"/>
    <row r="3800" ht="81.75" customHeight="1" thickBot="1"/>
    <row r="3801" ht="81.75" customHeight="1" thickBot="1"/>
    <row r="3802" ht="81.75" customHeight="1" thickBot="1"/>
    <row r="3803" ht="81.75" customHeight="1" thickBot="1"/>
    <row r="3804" ht="81.75" customHeight="1" thickBot="1"/>
    <row r="3805" ht="81.75" customHeight="1" thickBot="1"/>
    <row r="3806" ht="81.75" customHeight="1" thickBot="1"/>
    <row r="3807" ht="81.75" customHeight="1" thickBot="1"/>
    <row r="3808" ht="81.75" customHeight="1" thickBot="1"/>
    <row r="3809" ht="81.75" customHeight="1" thickBot="1"/>
    <row r="3810" ht="81.75" customHeight="1" thickBot="1"/>
    <row r="3811" ht="81.75" customHeight="1" thickBot="1"/>
    <row r="3812" ht="81.75" customHeight="1" thickBot="1"/>
    <row r="3813" ht="81.75" customHeight="1" thickBot="1"/>
    <row r="3814" ht="81.75" customHeight="1" thickBot="1"/>
    <row r="3815" ht="81.75" customHeight="1" thickBot="1"/>
    <row r="3816" ht="81.75" customHeight="1" thickBot="1"/>
    <row r="3817" ht="81.75" customHeight="1" thickBot="1"/>
    <row r="3818" ht="81.75" customHeight="1" thickBot="1"/>
    <row r="3819" ht="81.75" customHeight="1" thickBot="1"/>
    <row r="3820" ht="81.75" customHeight="1" thickBot="1"/>
    <row r="3821" ht="81.75" customHeight="1" thickBot="1"/>
    <row r="3822" ht="81.75" customHeight="1" thickBot="1"/>
    <row r="3823" ht="81.75" customHeight="1" thickBot="1"/>
    <row r="3824" ht="81.75" customHeight="1" thickBot="1"/>
    <row r="3825" ht="81.75" customHeight="1" thickBot="1"/>
    <row r="3826" ht="81.75" customHeight="1" thickBot="1"/>
    <row r="3827" ht="81.75" customHeight="1" thickBot="1"/>
    <row r="3828" ht="81.75" customHeight="1" thickBot="1"/>
    <row r="3829" ht="81.75" customHeight="1" thickBot="1"/>
    <row r="3830" ht="81.75" customHeight="1" thickBot="1"/>
    <row r="3831" ht="81.75" customHeight="1" thickBot="1"/>
    <row r="3832" ht="81.75" customHeight="1" thickBot="1"/>
    <row r="3833" ht="81.75" customHeight="1" thickBot="1"/>
    <row r="3834" ht="81.75" customHeight="1" thickBot="1"/>
    <row r="3835" ht="81.75" customHeight="1" thickBot="1"/>
    <row r="3836" ht="81.75" customHeight="1" thickBot="1"/>
    <row r="3837" ht="81.75" customHeight="1" thickBot="1"/>
    <row r="3838" ht="81.75" customHeight="1" thickBot="1"/>
    <row r="3839" ht="81.75" customHeight="1" thickBot="1"/>
    <row r="3840" ht="81.75" customHeight="1" thickBot="1"/>
    <row r="3841" ht="81.75" customHeight="1" thickBot="1"/>
    <row r="3842" ht="81.75" customHeight="1" thickBot="1"/>
    <row r="3843" ht="81.75" customHeight="1" thickBot="1"/>
    <row r="3844" ht="81.75" customHeight="1" thickBot="1"/>
    <row r="3845" ht="81.75" customHeight="1" thickBot="1"/>
    <row r="3846" ht="81.75" customHeight="1" thickBot="1"/>
    <row r="3847" ht="81.75" customHeight="1" thickBot="1"/>
    <row r="3848" ht="81.75" customHeight="1" thickBot="1"/>
    <row r="3849" ht="81.75" customHeight="1" thickBot="1"/>
    <row r="3850" ht="81.75" customHeight="1" thickBot="1"/>
    <row r="3851" ht="81.75" customHeight="1" thickBot="1"/>
    <row r="3852" ht="81.75" customHeight="1" thickBot="1"/>
    <row r="3853" ht="81.75" customHeight="1" thickBot="1"/>
    <row r="3854" ht="81.75" customHeight="1" thickBot="1"/>
    <row r="3855" ht="81.75" customHeight="1" thickBot="1"/>
    <row r="3856" ht="81.75" customHeight="1" thickBot="1"/>
    <row r="3857" ht="81.75" customHeight="1" thickBot="1"/>
    <row r="3858" ht="81.75" customHeight="1" thickBot="1"/>
    <row r="3859" ht="81.75" customHeight="1" thickBot="1"/>
    <row r="3860" ht="81.75" customHeight="1" thickBot="1"/>
    <row r="3861" ht="81.75" customHeight="1" thickBot="1"/>
    <row r="3862" ht="81.75" customHeight="1" thickBot="1"/>
    <row r="3863" ht="81.75" customHeight="1" thickBot="1"/>
    <row r="3864" ht="81.75" customHeight="1" thickBot="1"/>
    <row r="3865" ht="81.75" customHeight="1" thickBot="1"/>
    <row r="3866" ht="81.75" customHeight="1" thickBot="1"/>
    <row r="3867" ht="81.75" customHeight="1" thickBot="1"/>
    <row r="3868" ht="81.75" customHeight="1" thickBot="1"/>
    <row r="3869" ht="81.75" customHeight="1" thickBot="1"/>
    <row r="3870" ht="81.75" customHeight="1" thickBot="1"/>
    <row r="3871" ht="81.75" customHeight="1" thickBot="1"/>
    <row r="3872" ht="81.75" customHeight="1" thickBot="1"/>
    <row r="3873" ht="81.75" customHeight="1" thickBot="1"/>
    <row r="3874" ht="81.75" customHeight="1" thickBot="1"/>
    <row r="3875" ht="81.75" customHeight="1" thickBot="1"/>
    <row r="3876" ht="81.75" customHeight="1" thickBot="1"/>
    <row r="3877" ht="81.75" customHeight="1" thickBot="1"/>
    <row r="3878" ht="81.75" customHeight="1" thickBot="1"/>
    <row r="3879" ht="81.75" customHeight="1" thickBot="1"/>
    <row r="3880" ht="81.75" customHeight="1" thickBot="1"/>
    <row r="3881" ht="81.75" customHeight="1" thickBot="1"/>
    <row r="3882" ht="81.75" customHeight="1" thickBot="1"/>
    <row r="3883" ht="81.75" customHeight="1" thickBot="1"/>
    <row r="3884" ht="81.75" customHeight="1" thickBot="1"/>
    <row r="3885" ht="81.75" customHeight="1" thickBot="1"/>
    <row r="3886" ht="81.75" customHeight="1" thickBot="1"/>
    <row r="3887" ht="81.75" customHeight="1" thickBot="1"/>
    <row r="3888" ht="81.75" customHeight="1" thickBot="1"/>
    <row r="3889" ht="81.75" customHeight="1" thickBot="1"/>
    <row r="3890" ht="81.75" customHeight="1" thickBot="1"/>
    <row r="3891" ht="81.75" customHeight="1" thickBot="1"/>
    <row r="3892" ht="81.75" customHeight="1" thickBot="1"/>
    <row r="3893" ht="81.75" customHeight="1" thickBot="1"/>
    <row r="3894" ht="81.75" customHeight="1" thickBot="1"/>
    <row r="3895" ht="81.75" customHeight="1" thickBot="1"/>
    <row r="3896" ht="81.75" customHeight="1" thickBot="1"/>
    <row r="3897" ht="81.75" customHeight="1" thickBot="1"/>
    <row r="3898" ht="81.75" customHeight="1" thickBot="1"/>
    <row r="3899" ht="81.75" customHeight="1" thickBot="1"/>
    <row r="3900" ht="81.75" customHeight="1" thickBot="1"/>
    <row r="3901" ht="81.75" customHeight="1" thickBot="1"/>
    <row r="3902" ht="81.75" customHeight="1" thickBot="1"/>
    <row r="3903" ht="81.75" customHeight="1" thickBot="1"/>
    <row r="3904" ht="81.75" customHeight="1" thickBot="1"/>
    <row r="3905" ht="81.75" customHeight="1" thickBot="1"/>
    <row r="3906" ht="81.75" customHeight="1" thickBot="1"/>
    <row r="3907" ht="81.75" customHeight="1" thickBot="1"/>
    <row r="3908" ht="81.75" customHeight="1" thickBot="1"/>
    <row r="3909" ht="81.75" customHeight="1" thickBot="1"/>
    <row r="3910" ht="81.75" customHeight="1" thickBot="1"/>
    <row r="3911" ht="81.75" customHeight="1" thickBot="1"/>
    <row r="3912" ht="81.75" customHeight="1" thickBot="1"/>
    <row r="3913" ht="81.75" customHeight="1" thickBot="1"/>
    <row r="3914" ht="81.75" customHeight="1" thickBot="1"/>
    <row r="3915" ht="81.75" customHeight="1" thickBot="1"/>
    <row r="3916" ht="81.75" customHeight="1" thickBot="1"/>
    <row r="3917" ht="81.75" customHeight="1" thickBot="1"/>
    <row r="3918" ht="81.75" customHeight="1" thickBot="1"/>
    <row r="3919" ht="81.75" customHeight="1" thickBot="1"/>
    <row r="3920" ht="81.75" customHeight="1" thickBot="1"/>
    <row r="3921" ht="81.75" customHeight="1" thickBot="1"/>
    <row r="3922" ht="81.75" customHeight="1" thickBot="1"/>
    <row r="3923" ht="81.75" customHeight="1" thickBot="1"/>
    <row r="3924" ht="81.75" customHeight="1" thickBot="1"/>
    <row r="3925" ht="81.75" customHeight="1" thickBot="1"/>
    <row r="3926" ht="81.75" customHeight="1" thickBot="1"/>
    <row r="3927" ht="81.75" customHeight="1" thickBot="1"/>
    <row r="3928" ht="81.75" customHeight="1" thickBot="1"/>
    <row r="3929" ht="81.75" customHeight="1" thickBot="1"/>
    <row r="3930" ht="81.75" customHeight="1" thickBot="1"/>
    <row r="3931" ht="81.75" customHeight="1" thickBot="1"/>
    <row r="3932" ht="81.75" customHeight="1" thickBot="1"/>
    <row r="3933" ht="81.75" customHeight="1" thickBot="1"/>
    <row r="3934" ht="81.75" customHeight="1" thickBot="1"/>
    <row r="3935" ht="81.75" customHeight="1" thickBot="1"/>
    <row r="3936" ht="81.75" customHeight="1" thickBot="1"/>
    <row r="3937" ht="81.75" customHeight="1" thickBot="1"/>
    <row r="3938" ht="81.75" customHeight="1" thickBot="1"/>
    <row r="3939" ht="81.75" customHeight="1" thickBot="1"/>
    <row r="3940" ht="81.75" customHeight="1" thickBot="1"/>
    <row r="3941" ht="81.75" customHeight="1" thickBot="1"/>
    <row r="3942" ht="81.75" customHeight="1" thickBot="1"/>
    <row r="3943" ht="81.75" customHeight="1" thickBot="1"/>
    <row r="3944" ht="81.75" customHeight="1" thickBot="1"/>
    <row r="3945" ht="81.75" customHeight="1" thickBot="1"/>
    <row r="3946" ht="81.75" customHeight="1" thickBot="1"/>
    <row r="3947" ht="81.75" customHeight="1" thickBot="1"/>
    <row r="3948" ht="81.75" customHeight="1" thickBot="1"/>
    <row r="3949" ht="81.75" customHeight="1" thickBot="1"/>
    <row r="3950" ht="81.75" customHeight="1" thickBot="1"/>
    <row r="3951" ht="81.75" customHeight="1" thickBot="1"/>
    <row r="3952" ht="81.75" customHeight="1" thickBot="1"/>
    <row r="3953" ht="81.75" customHeight="1" thickBot="1"/>
    <row r="3954" ht="81.75" customHeight="1" thickBot="1"/>
    <row r="3955" ht="81.75" customHeight="1" thickBot="1"/>
    <row r="3956" ht="81.75" customHeight="1" thickBot="1"/>
    <row r="3957" ht="81.75" customHeight="1" thickBot="1"/>
    <row r="3958" ht="81.75" customHeight="1" thickBot="1"/>
    <row r="3959" ht="81.75" customHeight="1" thickBot="1"/>
    <row r="3960" ht="81.75" customHeight="1" thickBot="1"/>
    <row r="3961" ht="81.75" customHeight="1" thickBot="1"/>
    <row r="3962" ht="81.75" customHeight="1" thickBot="1"/>
    <row r="3963" ht="81.75" customHeight="1" thickBot="1"/>
    <row r="3964" ht="81.75" customHeight="1" thickBot="1"/>
    <row r="3965" ht="81.75" customHeight="1" thickBot="1"/>
    <row r="3966" ht="81.75" customHeight="1" thickBot="1"/>
    <row r="3967" ht="81.75" customHeight="1" thickBot="1"/>
    <row r="3968" ht="81.75" customHeight="1" thickBot="1"/>
    <row r="3969" ht="81.75" customHeight="1" thickBot="1"/>
    <row r="3970" ht="81.75" customHeight="1" thickBot="1"/>
    <row r="3971" ht="81.75" customHeight="1" thickBot="1"/>
    <row r="3972" ht="81.75" customHeight="1" thickBot="1"/>
    <row r="3973" ht="81.75" customHeight="1" thickBot="1"/>
    <row r="3974" ht="81.75" customHeight="1" thickBot="1"/>
    <row r="3975" ht="81.75" customHeight="1" thickBot="1"/>
    <row r="3976" ht="81.75" customHeight="1" thickBot="1"/>
    <row r="3977" ht="81.75" customHeight="1" thickBot="1"/>
    <row r="3978" ht="81.75" customHeight="1" thickBot="1"/>
    <row r="3979" ht="81.75" customHeight="1" thickBot="1"/>
    <row r="3980" ht="81.75" customHeight="1" thickBot="1"/>
    <row r="3981" ht="81.75" customHeight="1" thickBot="1"/>
    <row r="3982" ht="81.75" customHeight="1" thickBot="1"/>
    <row r="3983" ht="81.75" customHeight="1" thickBot="1"/>
    <row r="3984" ht="81.75" customHeight="1" thickBot="1"/>
    <row r="3985" ht="81.75" customHeight="1" thickBot="1"/>
    <row r="3986" ht="81.75" customHeight="1" thickBot="1"/>
    <row r="3987" ht="81.75" customHeight="1" thickBot="1"/>
    <row r="3988" ht="81.75" customHeight="1" thickBot="1"/>
    <row r="3989" ht="81.75" customHeight="1" thickBot="1"/>
    <row r="3990" ht="81.75" customHeight="1" thickBot="1"/>
    <row r="3991" ht="81.75" customHeight="1" thickBot="1"/>
    <row r="3992" ht="81.75" customHeight="1" thickBot="1"/>
    <row r="3993" ht="81.75" customHeight="1" thickBot="1"/>
    <row r="3994" ht="81.75" customHeight="1" thickBot="1"/>
    <row r="3995" ht="81.75" customHeight="1" thickBot="1"/>
    <row r="3996" ht="81.75" customHeight="1" thickBot="1"/>
    <row r="3997" ht="81.75" customHeight="1" thickBot="1"/>
    <row r="3998" ht="81.75" customHeight="1" thickBot="1"/>
    <row r="3999" ht="81.75" customHeight="1" thickBot="1"/>
    <row r="4000" ht="81.75" customHeight="1" thickBot="1"/>
    <row r="4001" ht="81.75" customHeight="1" thickBot="1"/>
    <row r="4002" ht="81.75" customHeight="1" thickBot="1"/>
    <row r="4003" ht="81.75" customHeight="1" thickBot="1"/>
    <row r="4004" ht="81.75" customHeight="1" thickBot="1"/>
    <row r="4005" ht="81.75" customHeight="1" thickBot="1"/>
    <row r="4006" ht="81.75" customHeight="1" thickBot="1"/>
    <row r="4007" ht="81.75" customHeight="1" thickBot="1"/>
    <row r="4008" ht="81.75" customHeight="1" thickBot="1"/>
    <row r="4009" ht="81.75" customHeight="1" thickBot="1"/>
    <row r="4010" ht="81.75" customHeight="1" thickBot="1"/>
    <row r="4011" ht="81.75" customHeight="1" thickBot="1"/>
    <row r="4012" ht="81.75" customHeight="1" thickBot="1"/>
    <row r="4013" ht="81.75" customHeight="1" thickBot="1"/>
    <row r="4014" ht="81.75" customHeight="1" thickBot="1"/>
    <row r="4015" ht="81.75" customHeight="1" thickBot="1"/>
    <row r="4016" ht="81.75" customHeight="1" thickBot="1"/>
    <row r="4017" ht="81.75" customHeight="1" thickBot="1"/>
    <row r="4018" ht="81.75" customHeight="1" thickBot="1"/>
    <row r="4019" ht="81.75" customHeight="1" thickBot="1"/>
    <row r="4020" ht="81.75" customHeight="1" thickBot="1"/>
    <row r="4021" ht="81.75" customHeight="1" thickBot="1"/>
    <row r="4022" ht="81.75" customHeight="1" thickBot="1"/>
    <row r="4023" ht="81.75" customHeight="1" thickBot="1"/>
    <row r="4024" ht="81.75" customHeight="1" thickBot="1"/>
    <row r="4025" ht="81.75" customHeight="1" thickBot="1"/>
    <row r="4026" ht="81.75" customHeight="1" thickBot="1"/>
    <row r="4027" ht="81.75" customHeight="1" thickBot="1"/>
    <row r="4028" ht="81.75" customHeight="1" thickBot="1"/>
    <row r="4029" ht="81.75" customHeight="1" thickBot="1"/>
    <row r="4030" ht="81.75" customHeight="1" thickBot="1"/>
    <row r="4031" ht="81.75" customHeight="1" thickBot="1"/>
    <row r="4032" ht="81.75" customHeight="1" thickBot="1"/>
    <row r="4033" ht="81.75" customHeight="1" thickBot="1"/>
    <row r="4034" ht="81.75" customHeight="1" thickBot="1"/>
    <row r="4035" ht="81.75" customHeight="1" thickBot="1"/>
    <row r="4036" ht="81.75" customHeight="1" thickBot="1"/>
    <row r="4037" ht="81.75" customHeight="1" thickBot="1"/>
    <row r="4038" ht="81.75" customHeight="1" thickBot="1"/>
    <row r="4039" ht="81.75" customHeight="1" thickBot="1"/>
    <row r="4040" ht="81.75" customHeight="1" thickBot="1"/>
    <row r="4041" ht="81.75" customHeight="1" thickBot="1"/>
    <row r="4042" ht="81.75" customHeight="1" thickBot="1"/>
    <row r="4043" ht="81.75" customHeight="1" thickBot="1"/>
    <row r="4044" ht="81.75" customHeight="1" thickBot="1"/>
    <row r="4045" ht="81.75" customHeight="1" thickBot="1"/>
    <row r="4046" ht="81.75" customHeight="1" thickBot="1"/>
    <row r="4047" ht="81.75" customHeight="1" thickBot="1"/>
    <row r="4048" ht="81.75" customHeight="1" thickBot="1"/>
    <row r="4049" ht="81.75" customHeight="1" thickBot="1"/>
    <row r="4050" ht="81.75" customHeight="1" thickBot="1"/>
    <row r="4051" ht="81.75" customHeight="1" thickBot="1"/>
    <row r="4052" ht="81.75" customHeight="1" thickBot="1"/>
    <row r="4053" ht="81.75" customHeight="1" thickBot="1"/>
    <row r="4054" ht="81.75" customHeight="1" thickBot="1"/>
    <row r="4055" ht="81.75" customHeight="1" thickBot="1"/>
    <row r="4056" ht="81.75" customHeight="1" thickBot="1"/>
    <row r="4057" ht="81.75" customHeight="1" thickBot="1"/>
    <row r="4058" ht="81.75" customHeight="1" thickBot="1"/>
    <row r="4059" ht="81.75" customHeight="1" thickBot="1"/>
    <row r="4060" ht="81.75" customHeight="1" thickBot="1"/>
    <row r="4061" ht="81.75" customHeight="1" thickBot="1"/>
    <row r="4062" ht="81.75" customHeight="1" thickBot="1"/>
    <row r="4063" ht="81.75" customHeight="1" thickBot="1"/>
    <row r="4064" ht="81.75" customHeight="1" thickBot="1"/>
    <row r="4065" ht="81.75" customHeight="1" thickBot="1"/>
    <row r="4066" ht="81.75" customHeight="1" thickBot="1"/>
    <row r="4067" ht="81.75" customHeight="1" thickBot="1"/>
    <row r="4068" ht="81.75" customHeight="1" thickBot="1"/>
    <row r="4069" ht="81.75" customHeight="1" thickBot="1"/>
    <row r="4070" ht="81.75" customHeight="1" thickBot="1"/>
    <row r="4071" ht="81.75" customHeight="1" thickBot="1"/>
    <row r="4072" ht="81.75" customHeight="1" thickBot="1"/>
    <row r="4073" ht="81.75" customHeight="1" thickBot="1"/>
    <row r="4074" ht="81.75" customHeight="1" thickBot="1"/>
    <row r="4075" ht="81.75" customHeight="1" thickBot="1"/>
    <row r="4076" ht="81.75" customHeight="1" thickBot="1"/>
    <row r="4077" ht="81.75" customHeight="1" thickBot="1"/>
    <row r="4078" ht="81.75" customHeight="1" thickBot="1"/>
    <row r="4079" ht="81.75" customHeight="1" thickBot="1"/>
    <row r="4080" ht="81.75" customHeight="1" thickBot="1"/>
    <row r="4081" ht="81.75" customHeight="1" thickBot="1"/>
    <row r="4082" ht="81.75" customHeight="1" thickBot="1"/>
    <row r="4083" ht="81.75" customHeight="1" thickBot="1"/>
    <row r="4084" ht="81.75" customHeight="1" thickBot="1"/>
    <row r="4085" ht="81.75" customHeight="1" thickBot="1"/>
    <row r="4086" ht="81.75" customHeight="1" thickBot="1"/>
    <row r="4087" ht="81.75" customHeight="1" thickBot="1"/>
    <row r="4088" ht="81.75" customHeight="1" thickBot="1"/>
    <row r="4089" ht="81.75" customHeight="1" thickBot="1"/>
    <row r="4090" ht="81.75" customHeight="1" thickBot="1"/>
    <row r="4091" ht="81.75" customHeight="1" thickBot="1"/>
    <row r="4092" ht="81.75" customHeight="1" thickBot="1"/>
    <row r="4093" ht="81.75" customHeight="1" thickBot="1"/>
    <row r="4094" ht="81.75" customHeight="1" thickBot="1"/>
    <row r="4095" ht="81.75" customHeight="1" thickBot="1"/>
    <row r="4096" ht="81.75" customHeight="1" thickBot="1"/>
    <row r="4097" ht="81.75" customHeight="1" thickBot="1"/>
    <row r="4098" ht="81.75" customHeight="1" thickBot="1"/>
    <row r="4099" ht="81.75" customHeight="1" thickBot="1"/>
    <row r="4100" ht="81.75" customHeight="1" thickBot="1"/>
    <row r="4101" ht="81.75" customHeight="1" thickBot="1"/>
    <row r="4102" ht="81.75" customHeight="1" thickBot="1"/>
    <row r="4103" ht="81.75" customHeight="1" thickBot="1"/>
    <row r="4104" ht="81.75" customHeight="1" thickBot="1"/>
    <row r="4105" ht="81.75" customHeight="1" thickBot="1"/>
    <row r="4106" ht="81.75" customHeight="1" thickBot="1"/>
    <row r="4107" ht="81.75" customHeight="1" thickBot="1"/>
    <row r="4108" ht="81.75" customHeight="1" thickBot="1"/>
    <row r="4109" ht="81.75" customHeight="1" thickBot="1"/>
    <row r="4110" ht="81.75" customHeight="1" thickBot="1"/>
    <row r="4111" ht="81.75" customHeight="1" thickBot="1"/>
    <row r="4112" ht="81.75" customHeight="1" thickBot="1"/>
    <row r="4113" ht="81.75" customHeight="1" thickBot="1"/>
    <row r="4114" ht="81.75" customHeight="1" thickBot="1"/>
    <row r="4115" ht="81.75" customHeight="1" thickBot="1"/>
    <row r="4116" ht="81.75" customHeight="1" thickBot="1"/>
    <row r="4117" ht="81.75" customHeight="1" thickBot="1"/>
    <row r="4118" ht="81.75" customHeight="1" thickBot="1"/>
    <row r="4119" ht="81.75" customHeight="1" thickBot="1"/>
    <row r="4120" ht="81.75" customHeight="1" thickBot="1"/>
    <row r="4121" ht="81.75" customHeight="1" thickBot="1"/>
    <row r="4122" ht="81.75" customHeight="1" thickBot="1"/>
    <row r="4123" ht="81.75" customHeight="1" thickBot="1"/>
    <row r="4124" ht="81.75" customHeight="1" thickBot="1"/>
    <row r="4125" ht="81.75" customHeight="1" thickBot="1"/>
    <row r="4126" ht="81.75" customHeight="1" thickBot="1"/>
    <row r="4127" ht="81.75" customHeight="1" thickBot="1"/>
    <row r="4128" ht="81.75" customHeight="1" thickBot="1"/>
    <row r="4129" ht="81.75" customHeight="1" thickBot="1"/>
    <row r="4130" ht="81.75" customHeight="1" thickBot="1"/>
    <row r="4131" ht="81.75" customHeight="1" thickBot="1"/>
    <row r="4132" ht="81.75" customHeight="1" thickBot="1"/>
    <row r="4133" ht="81.75" customHeight="1" thickBot="1"/>
    <row r="4134" ht="81.75" customHeight="1" thickBot="1"/>
    <row r="4135" ht="81.75" customHeight="1" thickBot="1"/>
    <row r="4136" ht="81.75" customHeight="1" thickBot="1"/>
    <row r="4137" ht="81.75" customHeight="1" thickBot="1"/>
    <row r="4138" ht="81.75" customHeight="1" thickBot="1"/>
    <row r="4139" ht="81.75" customHeight="1" thickBot="1"/>
    <row r="4140" ht="81.75" customHeight="1" thickBot="1"/>
    <row r="4141" ht="81.75" customHeight="1" thickBot="1"/>
    <row r="4142" ht="81.75" customHeight="1" thickBot="1"/>
    <row r="4143" ht="81.75" customHeight="1" thickBot="1"/>
    <row r="4144" ht="81.75" customHeight="1" thickBot="1"/>
    <row r="4145" ht="81.75" customHeight="1" thickBot="1"/>
    <row r="4146" ht="81.75" customHeight="1" thickBot="1"/>
    <row r="4147" ht="81.75" customHeight="1" thickBot="1"/>
    <row r="4148" ht="81.75" customHeight="1" thickBot="1"/>
    <row r="4149" ht="81.75" customHeight="1" thickBot="1"/>
    <row r="4150" ht="81.75" customHeight="1" thickBot="1"/>
    <row r="4151" ht="81.75" customHeight="1" thickBot="1"/>
    <row r="4152" ht="81.75" customHeight="1" thickBot="1"/>
    <row r="4153" ht="81.75" customHeight="1" thickBot="1"/>
    <row r="4154" ht="81.75" customHeight="1" thickBot="1"/>
    <row r="4155" ht="81.75" customHeight="1" thickBot="1"/>
    <row r="4156" ht="81.75" customHeight="1" thickBot="1"/>
    <row r="4157" ht="81.75" customHeight="1" thickBot="1"/>
    <row r="4158" ht="81.75" customHeight="1" thickBot="1"/>
    <row r="4159" ht="81.75" customHeight="1" thickBot="1"/>
    <row r="4160" ht="81.75" customHeight="1" thickBot="1"/>
    <row r="4161" ht="81.75" customHeight="1" thickBot="1"/>
    <row r="4162" ht="81.75" customHeight="1" thickBot="1"/>
    <row r="4163" ht="81.75" customHeight="1" thickBot="1"/>
    <row r="4164" ht="81.75" customHeight="1" thickBot="1"/>
    <row r="4165" ht="81.75" customHeight="1" thickBot="1"/>
    <row r="4166" ht="81.75" customHeight="1" thickBot="1"/>
    <row r="4167" ht="81.75" customHeight="1" thickBot="1"/>
    <row r="4168" ht="81.75" customHeight="1" thickBot="1"/>
    <row r="4169" ht="81.75" customHeight="1" thickBot="1"/>
    <row r="4170" ht="81.75" customHeight="1" thickBot="1"/>
    <row r="4171" ht="81.75" customHeight="1" thickBot="1"/>
    <row r="4172" ht="81.75" customHeight="1" thickBot="1"/>
    <row r="4173" ht="81.75" customHeight="1" thickBot="1"/>
    <row r="4174" ht="81.75" customHeight="1" thickBot="1"/>
    <row r="4175" ht="81.75" customHeight="1" thickBot="1"/>
    <row r="4176" ht="81.75" customHeight="1" thickBot="1"/>
    <row r="4177" ht="81.75" customHeight="1" thickBot="1"/>
    <row r="4178" ht="81.75" customHeight="1" thickBot="1"/>
    <row r="4179" ht="81.75" customHeight="1" thickBot="1"/>
    <row r="4180" ht="81.75" customHeight="1" thickBot="1"/>
    <row r="4181" ht="81.75" customHeight="1" thickBot="1"/>
    <row r="4182" ht="81.75" customHeight="1" thickBot="1"/>
    <row r="4183" ht="81.75" customHeight="1" thickBot="1"/>
    <row r="4184" ht="81.75" customHeight="1" thickBot="1"/>
    <row r="4185" ht="81.75" customHeight="1" thickBot="1"/>
    <row r="4186" ht="81.75" customHeight="1" thickBot="1"/>
    <row r="4187" ht="81.75" customHeight="1" thickBot="1"/>
    <row r="4188" ht="81.75" customHeight="1" thickBot="1"/>
    <row r="4189" ht="81.75" customHeight="1" thickBot="1"/>
    <row r="4190" ht="81.75" customHeight="1" thickBot="1"/>
    <row r="4191" ht="81.75" customHeight="1" thickBot="1"/>
    <row r="4192" ht="81.75" customHeight="1" thickBot="1"/>
    <row r="4193" ht="81.75" customHeight="1" thickBot="1"/>
    <row r="4194" ht="81.75" customHeight="1" thickBot="1"/>
    <row r="4195" ht="81.75" customHeight="1" thickBot="1"/>
    <row r="4196" ht="81.75" customHeight="1" thickBot="1"/>
    <row r="4197" ht="81.75" customHeight="1" thickBot="1"/>
    <row r="4198" ht="81.75" customHeight="1" thickBot="1"/>
    <row r="4199" ht="81.75" customHeight="1" thickBot="1"/>
    <row r="4200" ht="81.75" customHeight="1" thickBot="1"/>
    <row r="4201" ht="81.75" customHeight="1" thickBot="1"/>
    <row r="4202" ht="81.75" customHeight="1" thickBot="1"/>
    <row r="4203" ht="81.75" customHeight="1" thickBot="1"/>
    <row r="4204" ht="81.75" customHeight="1" thickBot="1"/>
    <row r="4205" ht="81.75" customHeight="1" thickBot="1"/>
    <row r="4206" ht="81.75" customHeight="1" thickBot="1"/>
    <row r="4207" ht="81.75" customHeight="1" thickBot="1"/>
    <row r="4208" ht="81.75" customHeight="1" thickBot="1"/>
    <row r="4209" ht="81.75" customHeight="1" thickBot="1"/>
    <row r="4210" ht="81.75" customHeight="1" thickBot="1"/>
    <row r="4211" ht="81.75" customHeight="1" thickBot="1"/>
    <row r="4212" ht="81.75" customHeight="1" thickBot="1"/>
    <row r="4213" ht="81.75" customHeight="1" thickBot="1"/>
    <row r="4214" ht="81.75" customHeight="1" thickBot="1"/>
    <row r="4215" ht="81.75" customHeight="1" thickBot="1"/>
    <row r="4216" ht="81.75" customHeight="1" thickBot="1"/>
    <row r="4217" ht="81.75" customHeight="1" thickBot="1"/>
    <row r="4218" ht="81.75" customHeight="1" thickBot="1"/>
    <row r="4219" ht="81.75" customHeight="1" thickBot="1"/>
    <row r="4220" ht="81.75" customHeight="1" thickBot="1"/>
    <row r="4221" ht="81.75" customHeight="1" thickBot="1"/>
    <row r="4222" ht="81.75" customHeight="1" thickBot="1"/>
    <row r="4223" ht="81.75" customHeight="1" thickBot="1"/>
    <row r="4224" ht="81.75" customHeight="1" thickBot="1"/>
    <row r="4225" ht="81.75" customHeight="1" thickBot="1"/>
    <row r="4226" ht="81.75" customHeight="1" thickBot="1"/>
    <row r="4227" ht="81.75" customHeight="1" thickBot="1"/>
    <row r="4228" ht="81.75" customHeight="1" thickBot="1"/>
    <row r="4229" ht="81.75" customHeight="1" thickBot="1"/>
    <row r="4230" ht="81.75" customHeight="1" thickBot="1"/>
    <row r="4231" ht="81.75" customHeight="1" thickBot="1"/>
    <row r="4232" ht="81.75" customHeight="1" thickBot="1"/>
    <row r="4233" ht="81.75" customHeight="1" thickBot="1"/>
    <row r="4234" ht="81.75" customHeight="1" thickBot="1"/>
    <row r="4235" ht="81.75" customHeight="1" thickBot="1"/>
    <row r="4236" ht="81.75" customHeight="1" thickBot="1"/>
    <row r="4237" ht="81.75" customHeight="1" thickBot="1"/>
    <row r="4238" ht="81.75" customHeight="1" thickBot="1"/>
    <row r="4239" ht="81.75" customHeight="1" thickBot="1"/>
    <row r="4240" ht="81.75" customHeight="1" thickBot="1"/>
    <row r="4241" ht="81.75" customHeight="1" thickBot="1"/>
    <row r="4242" ht="81.75" customHeight="1" thickBot="1"/>
    <row r="4243" ht="81.75" customHeight="1" thickBot="1"/>
    <row r="4244" ht="81.75" customHeight="1" thickBot="1"/>
    <row r="4245" ht="81.75" customHeight="1" thickBot="1"/>
    <row r="4246" ht="81.75" customHeight="1" thickBot="1"/>
    <row r="4247" ht="81.75" customHeight="1" thickBot="1"/>
    <row r="4248" ht="81.75" customHeight="1" thickBot="1"/>
    <row r="4249" ht="81.75" customHeight="1" thickBot="1"/>
    <row r="4250" ht="81.75" customHeight="1" thickBot="1"/>
    <row r="4251" ht="81.75" customHeight="1" thickBot="1"/>
    <row r="4252" ht="81.75" customHeight="1" thickBot="1"/>
    <row r="4253" ht="81.75" customHeight="1" thickBot="1"/>
    <row r="4254" ht="81.75" customHeight="1" thickBot="1"/>
    <row r="4255" ht="81.75" customHeight="1" thickBot="1"/>
    <row r="4256" ht="81.75" customHeight="1" thickBot="1"/>
    <row r="4257" ht="81.75" customHeight="1" thickBot="1"/>
    <row r="4258" ht="81.75" customHeight="1" thickBot="1"/>
    <row r="4259" ht="81.75" customHeight="1" thickBot="1"/>
    <row r="4260" ht="81.75" customHeight="1" thickBot="1"/>
    <row r="4261" ht="81.75" customHeight="1" thickBot="1"/>
    <row r="4262" ht="81.75" customHeight="1" thickBot="1"/>
    <row r="4263" ht="81.75" customHeight="1" thickBot="1"/>
    <row r="4264" ht="81.75" customHeight="1" thickBot="1"/>
    <row r="4265" ht="81.75" customHeight="1" thickBot="1"/>
    <row r="4266" ht="81.75" customHeight="1" thickBot="1"/>
    <row r="4267" ht="81.75" customHeight="1" thickBot="1"/>
    <row r="4268" ht="81.75" customHeight="1" thickBot="1"/>
    <row r="4269" ht="81.75" customHeight="1" thickBot="1"/>
    <row r="4270" ht="81.75" customHeight="1" thickBot="1"/>
    <row r="4271" ht="81.75" customHeight="1" thickBot="1"/>
    <row r="4272" ht="81.75" customHeight="1" thickBot="1"/>
    <row r="4273" ht="81.75" customHeight="1" thickBot="1"/>
    <row r="4274" ht="81.75" customHeight="1" thickBot="1"/>
    <row r="4275" ht="81.75" customHeight="1" thickBot="1"/>
    <row r="4276" ht="81.75" customHeight="1" thickBot="1"/>
    <row r="4277" ht="81.75" customHeight="1" thickBot="1"/>
    <row r="4278" ht="81.75" customHeight="1" thickBot="1"/>
    <row r="4279" ht="81.75" customHeight="1" thickBot="1"/>
    <row r="4280" ht="81.75" customHeight="1" thickBot="1"/>
    <row r="4281" ht="81.75" customHeight="1" thickBot="1"/>
    <row r="4282" ht="81.75" customHeight="1" thickBot="1"/>
    <row r="4283" ht="81.75" customHeight="1" thickBot="1"/>
    <row r="4284" ht="81.75" customHeight="1" thickBot="1"/>
    <row r="4285" ht="81.75" customHeight="1" thickBot="1"/>
    <row r="4286" ht="81.75" customHeight="1" thickBot="1"/>
    <row r="4287" ht="81.75" customHeight="1" thickBot="1"/>
    <row r="4288" ht="81.75" customHeight="1" thickBot="1"/>
    <row r="4289" ht="81.75" customHeight="1" thickBot="1"/>
    <row r="4290" ht="81.75" customHeight="1" thickBot="1"/>
    <row r="4291" ht="81.75" customHeight="1" thickBot="1"/>
    <row r="4292" ht="81.75" customHeight="1" thickBot="1"/>
    <row r="4293" ht="81.75" customHeight="1" thickBot="1"/>
    <row r="4294" ht="81.75" customHeight="1" thickBot="1"/>
    <row r="4295" ht="81.75" customHeight="1" thickBot="1"/>
    <row r="4296" ht="81.75" customHeight="1" thickBot="1"/>
    <row r="4297" ht="81.75" customHeight="1" thickBot="1"/>
    <row r="4298" ht="81.75" customHeight="1" thickBot="1"/>
    <row r="4299" ht="81.75" customHeight="1" thickBot="1"/>
    <row r="4300" ht="81.75" customHeight="1" thickBot="1"/>
    <row r="4301" ht="81.75" customHeight="1" thickBot="1"/>
    <row r="4302" ht="81.75" customHeight="1" thickBot="1"/>
    <row r="4303" ht="81.75" customHeight="1" thickBot="1"/>
    <row r="4304" ht="81.75" customHeight="1" thickBot="1"/>
    <row r="4305" ht="81.75" customHeight="1" thickBot="1"/>
    <row r="4306" ht="81.75" customHeight="1" thickBot="1"/>
    <row r="4307" ht="81.75" customHeight="1" thickBot="1"/>
    <row r="4308" ht="81.75" customHeight="1" thickBot="1"/>
    <row r="4309" ht="81.75" customHeight="1" thickBot="1"/>
    <row r="4310" ht="81.75" customHeight="1" thickBot="1"/>
    <row r="4311" ht="81.75" customHeight="1" thickBot="1"/>
    <row r="4312" ht="81.75" customHeight="1" thickBot="1"/>
    <row r="4313" ht="81.75" customHeight="1" thickBot="1"/>
    <row r="4314" ht="81.75" customHeight="1" thickBot="1"/>
    <row r="4315" ht="81.75" customHeight="1" thickBot="1"/>
    <row r="4316" ht="81.75" customHeight="1" thickBot="1"/>
    <row r="4317" ht="81.75" customHeight="1" thickBot="1"/>
    <row r="4318" ht="81.75" customHeight="1" thickBot="1"/>
    <row r="4319" ht="81.75" customHeight="1" thickBot="1"/>
    <row r="4320" ht="81.75" customHeight="1" thickBot="1"/>
    <row r="4321" ht="81.75" customHeight="1" thickBot="1"/>
    <row r="4322" ht="81.75" customHeight="1" thickBot="1"/>
    <row r="4323" ht="81.75" customHeight="1" thickBot="1"/>
    <row r="4324" ht="81.75" customHeight="1" thickBot="1"/>
    <row r="4325" ht="81.75" customHeight="1" thickBot="1"/>
    <row r="4326" ht="81.75" customHeight="1" thickBot="1"/>
    <row r="4327" ht="81.75" customHeight="1" thickBot="1"/>
    <row r="4328" ht="81.75" customHeight="1" thickBot="1"/>
    <row r="4329" ht="81.75" customHeight="1" thickBot="1"/>
    <row r="4330" ht="81.75" customHeight="1" thickBot="1"/>
    <row r="4331" ht="81.75" customHeight="1" thickBot="1"/>
    <row r="4332" ht="81.75" customHeight="1" thickBot="1"/>
    <row r="4333" ht="81.75" customHeight="1" thickBot="1"/>
    <row r="4334" ht="81.75" customHeight="1" thickBot="1"/>
    <row r="4335" ht="81.75" customHeight="1" thickBot="1"/>
    <row r="4336" ht="81.75" customHeight="1" thickBot="1"/>
    <row r="4337" ht="81.75" customHeight="1" thickBot="1"/>
    <row r="4338" ht="81.75" customHeight="1" thickBot="1"/>
    <row r="4339" ht="81.75" customHeight="1" thickBot="1"/>
    <row r="4340" ht="81.75" customHeight="1" thickBot="1"/>
    <row r="4341" ht="81.75" customHeight="1" thickBot="1"/>
    <row r="4342" ht="81.75" customHeight="1" thickBot="1"/>
    <row r="4343" ht="81.75" customHeight="1" thickBot="1"/>
    <row r="4344" ht="81.75" customHeight="1" thickBot="1"/>
    <row r="4345" ht="81.75" customHeight="1" thickBot="1"/>
    <row r="4346" ht="81.75" customHeight="1" thickBot="1"/>
    <row r="4347" ht="81.75" customHeight="1" thickBot="1"/>
    <row r="4348" ht="81.75" customHeight="1" thickBot="1"/>
    <row r="4349" ht="81.75" customHeight="1" thickBot="1"/>
    <row r="4350" ht="81.75" customHeight="1" thickBot="1"/>
    <row r="4351" ht="81.75" customHeight="1" thickBot="1"/>
    <row r="4352" ht="81.75" customHeight="1" thickBot="1"/>
    <row r="4353" ht="81.75" customHeight="1" thickBot="1"/>
    <row r="4354" ht="81.75" customHeight="1" thickBot="1"/>
    <row r="4355" ht="81.75" customHeight="1" thickBot="1"/>
    <row r="4356" ht="81.75" customHeight="1" thickBot="1"/>
    <row r="4357" ht="81.75" customHeight="1" thickBot="1"/>
    <row r="4358" ht="81.75" customHeight="1" thickBot="1"/>
    <row r="4359" ht="81.75" customHeight="1" thickBot="1"/>
    <row r="4360" ht="81.75" customHeight="1" thickBot="1"/>
    <row r="4361" ht="81.75" customHeight="1" thickBot="1"/>
    <row r="4362" ht="81.75" customHeight="1" thickBot="1"/>
    <row r="4363" ht="81.75" customHeight="1" thickBot="1"/>
    <row r="4364" ht="81.75" customHeight="1" thickBot="1"/>
    <row r="4365" ht="81.75" customHeight="1" thickBot="1"/>
    <row r="4366" ht="81.75" customHeight="1" thickBot="1"/>
    <row r="4367" ht="81.75" customHeight="1" thickBot="1"/>
    <row r="4368" ht="81.75" customHeight="1" thickBot="1"/>
    <row r="4369" ht="81.75" customHeight="1" thickBot="1"/>
    <row r="4370" ht="81.75" customHeight="1" thickBot="1"/>
    <row r="4371" ht="81.75" customHeight="1" thickBot="1"/>
    <row r="4372" ht="81.75" customHeight="1" thickBot="1"/>
    <row r="4373" ht="81.75" customHeight="1" thickBot="1"/>
    <row r="4374" ht="81.75" customHeight="1" thickBot="1"/>
    <row r="4375" ht="81.75" customHeight="1" thickBot="1"/>
    <row r="4376" ht="81.75" customHeight="1" thickBot="1"/>
    <row r="4377" ht="81.75" customHeight="1" thickBot="1"/>
    <row r="4378" ht="81.75" customHeight="1" thickBot="1"/>
    <row r="4379" ht="81.75" customHeight="1" thickBot="1"/>
    <row r="4380" ht="81.75" customHeight="1" thickBot="1"/>
    <row r="4381" ht="81.75" customHeight="1" thickBot="1"/>
    <row r="4382" ht="81.75" customHeight="1" thickBot="1"/>
    <row r="4383" ht="81.75" customHeight="1" thickBot="1"/>
    <row r="4384" ht="81.75" customHeight="1" thickBot="1"/>
    <row r="4385" ht="81.75" customHeight="1" thickBot="1"/>
    <row r="4386" ht="81.75" customHeight="1" thickBot="1"/>
    <row r="4387" ht="81.75" customHeight="1" thickBot="1"/>
    <row r="4388" ht="81.75" customHeight="1" thickBot="1"/>
    <row r="4389" ht="81.75" customHeight="1" thickBot="1"/>
    <row r="4390" ht="81.75" customHeight="1" thickBot="1"/>
    <row r="4391" ht="81.75" customHeight="1" thickBot="1"/>
    <row r="4392" ht="81.75" customHeight="1" thickBot="1"/>
    <row r="4393" ht="81.75" customHeight="1" thickBot="1"/>
    <row r="4394" ht="81.75" customHeight="1" thickBot="1"/>
    <row r="4395" ht="81.75" customHeight="1" thickBot="1"/>
    <row r="4396" ht="81.75" customHeight="1" thickBot="1"/>
    <row r="4397" ht="81.75" customHeight="1" thickBot="1"/>
    <row r="4398" ht="81.75" customHeight="1" thickBot="1"/>
    <row r="4399" ht="81.75" customHeight="1" thickBot="1"/>
    <row r="4400" ht="81.75" customHeight="1" thickBot="1"/>
    <row r="4401" ht="81.75" customHeight="1" thickBot="1"/>
    <row r="4402" ht="81.75" customHeight="1" thickBot="1"/>
    <row r="4403" ht="81.75" customHeight="1" thickBot="1"/>
    <row r="4404" ht="81.75" customHeight="1" thickBot="1"/>
    <row r="4405" ht="81.75" customHeight="1" thickBot="1"/>
    <row r="4406" ht="81.75" customHeight="1" thickBot="1"/>
    <row r="4407" ht="81.75" customHeight="1" thickBot="1"/>
    <row r="4408" ht="81.75" customHeight="1" thickBot="1"/>
    <row r="4409" ht="81.75" customHeight="1" thickBot="1"/>
    <row r="4410" ht="81.75" customHeight="1" thickBot="1"/>
    <row r="4411" ht="81.75" customHeight="1" thickBot="1"/>
    <row r="4412" ht="81.75" customHeight="1" thickBot="1"/>
    <row r="4413" ht="81.75" customHeight="1" thickBot="1"/>
    <row r="4414" ht="81.75" customHeight="1" thickBot="1"/>
    <row r="4415" ht="81.75" customHeight="1" thickBot="1"/>
    <row r="4416" ht="81.75" customHeight="1" thickBot="1"/>
    <row r="4417" ht="81.75" customHeight="1" thickBot="1"/>
    <row r="4418" ht="81.75" customHeight="1" thickBot="1"/>
    <row r="4419" ht="81.75" customHeight="1" thickBot="1"/>
    <row r="4420" ht="81.75" customHeight="1" thickBot="1"/>
    <row r="4421" ht="81.75" customHeight="1" thickBot="1"/>
    <row r="4422" ht="81.75" customHeight="1" thickBot="1"/>
    <row r="4423" ht="81.75" customHeight="1" thickBot="1"/>
    <row r="4424" ht="81.75" customHeight="1" thickBot="1"/>
    <row r="4425" ht="81.75" customHeight="1" thickBot="1"/>
    <row r="4426" ht="81.75" customHeight="1" thickBot="1"/>
    <row r="4427" ht="81.75" customHeight="1" thickBot="1"/>
    <row r="4428" ht="81.75" customHeight="1" thickBot="1"/>
    <row r="4429" ht="81.75" customHeight="1" thickBot="1"/>
    <row r="4430" ht="81.75" customHeight="1" thickBot="1"/>
    <row r="4431" ht="81.75" customHeight="1" thickBot="1"/>
    <row r="4432" ht="81.75" customHeight="1" thickBot="1"/>
    <row r="4433" ht="81.75" customHeight="1" thickBot="1"/>
    <row r="4434" ht="81.75" customHeight="1" thickBot="1"/>
    <row r="4435" ht="81.75" customHeight="1" thickBot="1"/>
    <row r="4436" ht="81.75" customHeight="1" thickBot="1"/>
    <row r="4437" ht="81.75" customHeight="1" thickBot="1"/>
    <row r="4438" ht="81.75" customHeight="1" thickBot="1"/>
    <row r="4439" ht="81.75" customHeight="1" thickBot="1"/>
    <row r="4440" ht="81.75" customHeight="1" thickBot="1"/>
    <row r="4441" ht="81.75" customHeight="1" thickBot="1"/>
    <row r="4442" ht="81.75" customHeight="1" thickBot="1"/>
    <row r="4443" ht="81.75" customHeight="1" thickBot="1"/>
    <row r="4444" ht="81.75" customHeight="1" thickBot="1"/>
    <row r="4445" ht="81.75" customHeight="1" thickBot="1"/>
    <row r="4446" ht="81.75" customHeight="1" thickBot="1"/>
    <row r="4447" ht="81.75" customHeight="1" thickBot="1"/>
    <row r="4448" ht="81.75" customHeight="1" thickBot="1"/>
    <row r="4449" ht="81.75" customHeight="1" thickBot="1"/>
    <row r="4450" ht="81.75" customHeight="1" thickBot="1"/>
    <row r="4451" ht="81.75" customHeight="1" thickBot="1"/>
    <row r="4452" ht="81.75" customHeight="1" thickBot="1"/>
    <row r="4453" ht="81.75" customHeight="1" thickBot="1"/>
    <row r="4454" ht="81.75" customHeight="1" thickBot="1"/>
    <row r="4455" ht="81.75" customHeight="1" thickBot="1"/>
    <row r="4456" ht="81.75" customHeight="1" thickBot="1"/>
    <row r="4457" ht="81.75" customHeight="1" thickBot="1"/>
    <row r="4458" ht="81.75" customHeight="1" thickBot="1"/>
    <row r="4459" ht="81.75" customHeight="1" thickBot="1"/>
    <row r="4460" ht="81.75" customHeight="1" thickBot="1"/>
    <row r="4461" ht="81.75" customHeight="1" thickBot="1"/>
    <row r="4462" ht="81.75" customHeight="1" thickBot="1"/>
    <row r="4463" ht="81.75" customHeight="1" thickBot="1"/>
    <row r="4464" ht="81.75" customHeight="1" thickBot="1"/>
    <row r="4465" ht="81.75" customHeight="1" thickBot="1"/>
    <row r="4466" ht="81.75" customHeight="1" thickBot="1"/>
    <row r="4467" ht="81.75" customHeight="1" thickBot="1"/>
    <row r="4468" ht="81.75" customHeight="1" thickBot="1"/>
    <row r="4469" ht="81.75" customHeight="1" thickBot="1"/>
    <row r="4470" ht="81.75" customHeight="1" thickBot="1"/>
    <row r="4471" ht="81.75" customHeight="1" thickBot="1"/>
    <row r="4472" ht="81.75" customHeight="1" thickBot="1"/>
    <row r="4473" ht="81.75" customHeight="1" thickBot="1"/>
    <row r="4474" ht="81.75" customHeight="1" thickBot="1"/>
    <row r="4475" ht="81.75" customHeight="1" thickBot="1"/>
    <row r="4476" ht="81.75" customHeight="1" thickBot="1"/>
    <row r="4477" ht="81.75" customHeight="1" thickBot="1"/>
    <row r="4478" ht="81.75" customHeight="1" thickBot="1"/>
    <row r="4479" ht="81.75" customHeight="1" thickBot="1"/>
    <row r="4480" ht="81.75" customHeight="1" thickBot="1"/>
    <row r="4481" ht="81.75" customHeight="1" thickBot="1"/>
    <row r="4482" ht="81.75" customHeight="1" thickBot="1"/>
    <row r="4483" ht="81.75" customHeight="1" thickBot="1"/>
    <row r="4484" ht="81.75" customHeight="1" thickBot="1"/>
    <row r="4485" ht="81.75" customHeight="1" thickBot="1"/>
    <row r="4486" ht="81.75" customHeight="1" thickBot="1"/>
    <row r="4487" ht="81.75" customHeight="1" thickBot="1"/>
    <row r="4488" ht="81.75" customHeight="1" thickBot="1"/>
    <row r="4489" ht="81.75" customHeight="1" thickBot="1"/>
    <row r="4490" ht="81.75" customHeight="1" thickBot="1"/>
    <row r="4491" ht="81.75" customHeight="1" thickBot="1"/>
    <row r="4492" ht="81.75" customHeight="1" thickBot="1"/>
    <row r="4493" ht="81.75" customHeight="1" thickBot="1"/>
    <row r="4494" ht="81.75" customHeight="1" thickBot="1"/>
    <row r="4495" ht="81.75" customHeight="1" thickBot="1"/>
    <row r="4496" ht="81.75" customHeight="1" thickBot="1"/>
    <row r="4497" ht="81.75" customHeight="1" thickBot="1"/>
    <row r="4498" ht="81.75" customHeight="1" thickBot="1"/>
    <row r="4499" ht="81.75" customHeight="1" thickBot="1"/>
    <row r="4500" ht="81.75" customHeight="1" thickBot="1"/>
    <row r="4501" ht="81.75" customHeight="1" thickBot="1"/>
    <row r="4502" ht="81.75" customHeight="1" thickBot="1"/>
    <row r="4503" ht="81.75" customHeight="1" thickBot="1"/>
    <row r="4504" ht="81.75" customHeight="1" thickBot="1"/>
    <row r="4505" ht="81.75" customHeight="1" thickBot="1"/>
    <row r="4506" ht="81.75" customHeight="1" thickBot="1"/>
    <row r="4507" ht="81.75" customHeight="1" thickBot="1"/>
    <row r="4508" ht="81.75" customHeight="1" thickBot="1"/>
    <row r="4509" ht="81.75" customHeight="1" thickBot="1"/>
    <row r="4510" ht="81.75" customHeight="1" thickBot="1"/>
    <row r="4511" ht="81.75" customHeight="1" thickBot="1"/>
    <row r="4512" ht="81.75" customHeight="1" thickBot="1"/>
    <row r="4513" ht="81.75" customHeight="1" thickBot="1"/>
    <row r="4514" ht="81.75" customHeight="1" thickBot="1"/>
    <row r="4515" ht="81.75" customHeight="1" thickBot="1"/>
    <row r="4516" ht="81.75" customHeight="1" thickBot="1"/>
    <row r="4517" ht="81.75" customHeight="1" thickBot="1"/>
    <row r="4518" ht="81.75" customHeight="1" thickBot="1"/>
    <row r="4519" ht="81.75" customHeight="1" thickBot="1"/>
    <row r="4520" ht="81.75" customHeight="1" thickBot="1"/>
    <row r="4521" ht="81.75" customHeight="1" thickBot="1"/>
    <row r="4522" ht="81.75" customHeight="1" thickBot="1"/>
    <row r="4523" ht="81.75" customHeight="1" thickBot="1"/>
    <row r="4524" ht="81.75" customHeight="1" thickBot="1"/>
    <row r="4525" ht="81.75" customHeight="1" thickBot="1"/>
    <row r="4526" ht="81.75" customHeight="1" thickBot="1"/>
    <row r="4527" ht="81.75" customHeight="1" thickBot="1"/>
    <row r="4528" ht="81.75" customHeight="1" thickBot="1"/>
    <row r="4529" ht="81.75" customHeight="1" thickBot="1"/>
    <row r="4530" ht="81.75" customHeight="1" thickBot="1"/>
    <row r="4531" ht="81.75" customHeight="1" thickBot="1"/>
    <row r="4532" ht="81.75" customHeight="1" thickBot="1"/>
    <row r="4533" ht="81.75" customHeight="1" thickBot="1"/>
    <row r="4534" ht="81.75" customHeight="1" thickBot="1"/>
    <row r="4535" ht="81.75" customHeight="1" thickBot="1"/>
    <row r="4536" ht="81.75" customHeight="1" thickBot="1"/>
    <row r="4537" ht="81.75" customHeight="1" thickBot="1"/>
    <row r="4538" ht="81.75" customHeight="1" thickBot="1"/>
    <row r="4539" ht="81.75" customHeight="1" thickBot="1"/>
    <row r="4540" ht="81.75" customHeight="1" thickBot="1"/>
    <row r="4541" ht="81.75" customHeight="1" thickBot="1"/>
    <row r="4542" ht="81.75" customHeight="1" thickBot="1"/>
    <row r="4543" ht="81.75" customHeight="1" thickBot="1"/>
    <row r="4544" ht="81.75" customHeight="1" thickBot="1"/>
    <row r="4545" ht="81.75" customHeight="1" thickBot="1"/>
    <row r="4546" ht="81.75" customHeight="1" thickBot="1"/>
    <row r="4547" ht="81.75" customHeight="1" thickBot="1"/>
    <row r="4548" ht="81.75" customHeight="1" thickBot="1"/>
    <row r="4549" ht="81.75" customHeight="1" thickBot="1"/>
    <row r="4550" ht="81.75" customHeight="1" thickBot="1"/>
    <row r="4551" ht="81.75" customHeight="1" thickBot="1"/>
    <row r="4552" ht="81.75" customHeight="1" thickBot="1"/>
    <row r="4553" ht="81.75" customHeight="1" thickBot="1"/>
    <row r="4554" ht="81.75" customHeight="1" thickBot="1"/>
    <row r="4555" ht="81.75" customHeight="1" thickBot="1"/>
    <row r="4556" ht="81.75" customHeight="1" thickBot="1"/>
    <row r="4557" ht="81.75" customHeight="1" thickBot="1"/>
    <row r="4558" ht="81.75" customHeight="1" thickBot="1"/>
    <row r="4559" ht="81.75" customHeight="1" thickBot="1"/>
    <row r="4560" ht="81.75" customHeight="1" thickBot="1"/>
    <row r="4561" ht="81.75" customHeight="1" thickBot="1"/>
    <row r="4562" ht="81.75" customHeight="1" thickBot="1"/>
    <row r="4563" ht="81.75" customHeight="1" thickBot="1"/>
    <row r="4564" ht="81.75" customHeight="1" thickBot="1"/>
    <row r="4565" ht="81.75" customHeight="1" thickBot="1"/>
    <row r="4566" ht="81.75" customHeight="1" thickBot="1"/>
    <row r="4567" ht="81.75" customHeight="1" thickBot="1"/>
    <row r="4568" ht="81.75" customHeight="1" thickBot="1"/>
    <row r="4569" ht="81.75" customHeight="1" thickBot="1"/>
    <row r="4570" ht="81.75" customHeight="1" thickBot="1"/>
    <row r="4571" ht="81.75" customHeight="1" thickBot="1"/>
    <row r="4572" ht="81.75" customHeight="1" thickBot="1"/>
    <row r="4573" ht="81.75" customHeight="1" thickBot="1"/>
    <row r="4574" ht="81.75" customHeight="1" thickBot="1"/>
    <row r="4575" ht="81.75" customHeight="1" thickBot="1"/>
    <row r="4576" ht="81.75" customHeight="1" thickBot="1"/>
    <row r="4577" ht="81.75" customHeight="1" thickBot="1"/>
    <row r="4578" ht="81.75" customHeight="1" thickBot="1"/>
    <row r="4579" ht="81.75" customHeight="1" thickBot="1"/>
    <row r="4580" ht="81.75" customHeight="1" thickBot="1"/>
    <row r="4581" ht="81.75" customHeight="1" thickBot="1"/>
    <row r="4582" ht="81.75" customHeight="1" thickBot="1"/>
    <row r="4583" ht="81.75" customHeight="1" thickBot="1"/>
    <row r="4584" ht="81.75" customHeight="1" thickBot="1"/>
    <row r="4585" ht="81.75" customHeight="1" thickBot="1"/>
    <row r="4586" ht="81.75" customHeight="1" thickBot="1"/>
    <row r="4587" ht="81.75" customHeight="1" thickBot="1"/>
    <row r="4588" ht="81.75" customHeight="1" thickBot="1"/>
    <row r="4589" ht="81.75" customHeight="1" thickBot="1"/>
    <row r="4590" ht="81.75" customHeight="1" thickBot="1"/>
    <row r="4591" ht="81.75" customHeight="1" thickBot="1"/>
    <row r="4592" ht="81.75" customHeight="1" thickBot="1"/>
    <row r="4593" ht="81.75" customHeight="1" thickBot="1"/>
    <row r="4594" ht="81.75" customHeight="1" thickBot="1"/>
    <row r="4595" ht="81.75" customHeight="1" thickBot="1"/>
    <row r="4596" ht="81.75" customHeight="1" thickBot="1"/>
    <row r="4597" ht="81.75" customHeight="1" thickBot="1"/>
    <row r="4598" ht="81.75" customHeight="1" thickBot="1"/>
    <row r="4599" ht="81.75" customHeight="1" thickBot="1"/>
    <row r="4600" ht="81.75" customHeight="1" thickBot="1"/>
    <row r="4601" ht="81.75" customHeight="1" thickBot="1"/>
    <row r="4602" ht="81.75" customHeight="1" thickBot="1"/>
    <row r="4603" ht="81.75" customHeight="1" thickBot="1"/>
    <row r="4604" ht="81.75" customHeight="1" thickBot="1"/>
    <row r="4605" ht="81.75" customHeight="1" thickBot="1"/>
    <row r="4606" ht="81.75" customHeight="1" thickBot="1"/>
    <row r="4607" ht="81.75" customHeight="1" thickBot="1"/>
    <row r="4608" ht="81.75" customHeight="1" thickBot="1"/>
    <row r="4609" ht="81.75" customHeight="1" thickBot="1"/>
    <row r="4610" ht="81.75" customHeight="1" thickBot="1"/>
    <row r="4611" ht="81.75" customHeight="1" thickBot="1"/>
    <row r="4612" ht="81.75" customHeight="1" thickBot="1"/>
    <row r="4613" ht="81.75" customHeight="1" thickBot="1"/>
    <row r="4614" ht="81.75" customHeight="1" thickBot="1"/>
    <row r="4615" ht="81.75" customHeight="1" thickBot="1"/>
    <row r="4616" ht="81.75" customHeight="1" thickBot="1"/>
    <row r="4617" ht="81.75" customHeight="1" thickBot="1"/>
    <row r="4618" ht="81.75" customHeight="1" thickBot="1"/>
    <row r="4619" ht="81.75" customHeight="1" thickBot="1"/>
    <row r="4620" ht="81.75" customHeight="1" thickBot="1"/>
    <row r="4621" ht="81.75" customHeight="1" thickBot="1"/>
    <row r="4622" ht="81.75" customHeight="1" thickBot="1"/>
    <row r="4623" ht="81.75" customHeight="1" thickBot="1"/>
    <row r="4624" ht="81.75" customHeight="1" thickBot="1"/>
    <row r="4625" ht="81.75" customHeight="1" thickBot="1"/>
    <row r="4626" ht="81.75" customHeight="1" thickBot="1"/>
    <row r="4627" ht="81.75" customHeight="1" thickBot="1"/>
    <row r="4628" ht="81.75" customHeight="1" thickBot="1"/>
    <row r="4629" ht="81.75" customHeight="1" thickBot="1"/>
    <row r="4630" ht="81.75" customHeight="1" thickBot="1"/>
    <row r="4631" ht="81.75" customHeight="1" thickBot="1"/>
    <row r="4632" ht="81.75" customHeight="1" thickBot="1"/>
    <row r="4633" ht="81.75" customHeight="1" thickBot="1"/>
    <row r="4634" ht="81.75" customHeight="1" thickBot="1"/>
    <row r="4635" ht="81.75" customHeight="1" thickBot="1"/>
    <row r="4636" ht="81.75" customHeight="1" thickBot="1"/>
    <row r="4637" ht="81.75" customHeight="1" thickBot="1"/>
    <row r="4638" ht="81.75" customHeight="1" thickBot="1"/>
    <row r="4639" ht="81.75" customHeight="1" thickBot="1"/>
    <row r="4640" ht="81.75" customHeight="1" thickBot="1"/>
    <row r="4641" ht="81.75" customHeight="1" thickBot="1"/>
    <row r="4642" ht="81.75" customHeight="1" thickBot="1"/>
    <row r="4643" ht="81.75" customHeight="1" thickBot="1"/>
    <row r="4644" ht="81.75" customHeight="1" thickBot="1"/>
    <row r="4645" ht="81.75" customHeight="1" thickBot="1"/>
    <row r="4646" ht="81.75" customHeight="1" thickBot="1"/>
    <row r="4647" ht="81.75" customHeight="1" thickBot="1"/>
    <row r="4648" ht="81.75" customHeight="1" thickBot="1"/>
    <row r="4649" ht="81.75" customHeight="1" thickBot="1"/>
    <row r="4650" ht="81.75" customHeight="1" thickBot="1"/>
    <row r="4651" ht="81.75" customHeight="1" thickBot="1"/>
    <row r="4652" ht="81.75" customHeight="1" thickBot="1"/>
    <row r="4653" ht="81.75" customHeight="1" thickBot="1"/>
    <row r="4654" ht="81.75" customHeight="1" thickBot="1"/>
    <row r="4655" ht="81.75" customHeight="1" thickBot="1"/>
    <row r="4656" ht="81.75" customHeight="1" thickBot="1"/>
    <row r="4657" ht="81.75" customHeight="1" thickBot="1"/>
    <row r="4658" ht="81.75" customHeight="1" thickBot="1"/>
    <row r="4659" ht="81.75" customHeight="1" thickBot="1"/>
    <row r="4660" ht="81.75" customHeight="1" thickBot="1"/>
    <row r="4661" ht="81.75" customHeight="1" thickBot="1"/>
    <row r="4662" ht="81.75" customHeight="1" thickBot="1"/>
    <row r="4663" ht="81.75" customHeight="1" thickBot="1"/>
    <row r="4664" ht="81.75" customHeight="1" thickBot="1"/>
    <row r="4665" ht="81.75" customHeight="1" thickBot="1"/>
    <row r="4666" ht="81.75" customHeight="1" thickBot="1"/>
    <row r="4667" ht="81.75" customHeight="1" thickBot="1"/>
    <row r="4668" ht="81.75" customHeight="1" thickBot="1"/>
    <row r="4669" ht="81.75" customHeight="1" thickBot="1"/>
    <row r="4670" ht="81.75" customHeight="1" thickBot="1"/>
    <row r="4671" ht="81.75" customHeight="1" thickBot="1"/>
    <row r="4672" ht="81.75" customHeight="1" thickBot="1"/>
    <row r="4673" ht="81.75" customHeight="1" thickBot="1"/>
    <row r="4674" ht="81.75" customHeight="1" thickBot="1"/>
    <row r="4675" ht="81.75" customHeight="1" thickBot="1"/>
    <row r="4676" ht="81.75" customHeight="1" thickBot="1"/>
    <row r="4677" ht="81.75" customHeight="1" thickBot="1"/>
    <row r="4678" ht="81.75" customHeight="1" thickBot="1"/>
    <row r="4679" ht="81.75" customHeight="1" thickBot="1"/>
    <row r="4680" ht="81.75" customHeight="1" thickBot="1"/>
    <row r="4681" ht="81.75" customHeight="1" thickBot="1"/>
    <row r="4682" ht="81.75" customHeight="1" thickBot="1"/>
    <row r="4683" ht="81.75" customHeight="1" thickBot="1"/>
    <row r="4684" ht="81.75" customHeight="1" thickBot="1"/>
    <row r="4685" ht="81.75" customHeight="1" thickBot="1"/>
    <row r="4686" ht="81.75" customHeight="1" thickBot="1"/>
    <row r="4687" ht="81.75" customHeight="1" thickBot="1"/>
    <row r="4688" ht="81.75" customHeight="1" thickBot="1"/>
    <row r="4689" ht="81.75" customHeight="1" thickBot="1"/>
    <row r="4690" ht="81.75" customHeight="1" thickBot="1"/>
    <row r="4691" ht="81.75" customHeight="1" thickBot="1"/>
    <row r="4692" ht="81.75" customHeight="1" thickBot="1"/>
    <row r="4693" ht="81.75" customHeight="1" thickBot="1"/>
    <row r="4694" ht="81.75" customHeight="1" thickBot="1"/>
    <row r="4695" ht="81.75" customHeight="1" thickBot="1"/>
    <row r="4696" ht="81.75" customHeight="1" thickBot="1"/>
    <row r="4697" ht="81.75" customHeight="1" thickBot="1"/>
    <row r="4698" ht="81.75" customHeight="1" thickBot="1"/>
    <row r="4699" ht="81.75" customHeight="1" thickBot="1"/>
    <row r="4700" ht="81.75" customHeight="1" thickBot="1"/>
    <row r="4701" ht="81.75" customHeight="1" thickBot="1"/>
    <row r="4702" ht="81.75" customHeight="1" thickBot="1"/>
    <row r="4703" ht="81.75" customHeight="1" thickBot="1"/>
    <row r="4704" ht="81.75" customHeight="1" thickBot="1"/>
    <row r="4705" ht="81.75" customHeight="1" thickBot="1"/>
    <row r="4706" ht="81.75" customHeight="1" thickBot="1"/>
    <row r="4707" ht="81.75" customHeight="1" thickBot="1"/>
    <row r="4708" ht="81.75" customHeight="1" thickBot="1"/>
    <row r="4709" ht="81.75" customHeight="1" thickBot="1"/>
    <row r="4710" ht="81.75" customHeight="1" thickBot="1"/>
    <row r="4711" ht="81.75" customHeight="1" thickBot="1"/>
    <row r="4712" ht="81.75" customHeight="1" thickBot="1"/>
    <row r="4713" ht="81.75" customHeight="1" thickBot="1"/>
    <row r="4714" ht="81.75" customHeight="1" thickBot="1"/>
    <row r="4715" ht="81.75" customHeight="1" thickBot="1"/>
    <row r="4716" ht="81.75" customHeight="1" thickBot="1"/>
    <row r="4717" ht="81.75" customHeight="1" thickBot="1"/>
    <row r="4718" ht="81.75" customHeight="1" thickBot="1"/>
    <row r="4719" ht="81.75" customHeight="1" thickBot="1"/>
    <row r="4720" ht="81.75" customHeight="1" thickBot="1"/>
    <row r="4721" ht="81.75" customHeight="1" thickBot="1"/>
    <row r="4722" ht="81.75" customHeight="1" thickBot="1"/>
    <row r="4723" ht="81.75" customHeight="1" thickBot="1"/>
    <row r="4724" ht="81.75" customHeight="1" thickBot="1"/>
    <row r="4725" ht="81.75" customHeight="1" thickBot="1"/>
    <row r="4726" ht="81.75" customHeight="1" thickBot="1"/>
    <row r="4727" ht="81.75" customHeight="1" thickBot="1"/>
    <row r="4728" ht="81.75" customHeight="1" thickBot="1"/>
    <row r="4729" ht="81.75" customHeight="1" thickBot="1"/>
    <row r="4730" ht="81.75" customHeight="1" thickBot="1"/>
    <row r="4731" ht="81.75" customHeight="1" thickBot="1"/>
    <row r="4732" ht="81.75" customHeight="1" thickBot="1"/>
    <row r="4733" ht="81.75" customHeight="1" thickBot="1"/>
    <row r="4734" ht="81.75" customHeight="1" thickBot="1"/>
    <row r="4735" ht="81.75" customHeight="1" thickBot="1"/>
    <row r="4736" ht="81.75" customHeight="1" thickBot="1"/>
    <row r="4737" ht="81.75" customHeight="1" thickBot="1"/>
    <row r="4738" ht="81.75" customHeight="1" thickBot="1"/>
    <row r="4739" ht="81.75" customHeight="1" thickBot="1"/>
    <row r="4740" ht="81.75" customHeight="1" thickBot="1"/>
    <row r="4741" ht="81.75" customHeight="1" thickBot="1"/>
    <row r="4742" ht="81.75" customHeight="1" thickBot="1"/>
    <row r="4743" ht="81.75" customHeight="1" thickBot="1"/>
    <row r="4744" ht="81.75" customHeight="1" thickBot="1"/>
    <row r="4745" ht="81.75" customHeight="1" thickBot="1"/>
    <row r="4746" ht="81.75" customHeight="1" thickBot="1"/>
    <row r="4747" ht="81.75" customHeight="1" thickBot="1"/>
    <row r="4748" ht="81.75" customHeight="1" thickBot="1"/>
    <row r="4749" ht="81.75" customHeight="1" thickBot="1"/>
    <row r="4750" ht="81.75" customHeight="1" thickBot="1"/>
    <row r="4751" ht="81.75" customHeight="1" thickBot="1"/>
    <row r="4752" ht="81.75" customHeight="1" thickBot="1"/>
    <row r="4753" ht="81.75" customHeight="1" thickBot="1"/>
    <row r="4754" ht="81.75" customHeight="1" thickBot="1"/>
    <row r="4755" ht="81.75" customHeight="1" thickBot="1"/>
    <row r="4756" ht="81.75" customHeight="1" thickBot="1"/>
    <row r="4757" ht="81.75" customHeight="1" thickBot="1"/>
    <row r="4758" ht="81.75" customHeight="1" thickBot="1"/>
    <row r="4759" ht="81.75" customHeight="1" thickBot="1"/>
    <row r="4760" ht="81.75" customHeight="1" thickBot="1"/>
    <row r="4761" ht="81.75" customHeight="1" thickBot="1"/>
    <row r="4762" ht="81.75" customHeight="1" thickBot="1"/>
    <row r="4763" ht="81.75" customHeight="1" thickBot="1"/>
    <row r="4764" ht="81.75" customHeight="1" thickBot="1"/>
    <row r="4765" ht="81.75" customHeight="1" thickBot="1"/>
    <row r="4766" ht="81.75" customHeight="1" thickBot="1"/>
    <row r="4767" ht="81.75" customHeight="1" thickBot="1"/>
    <row r="4768" ht="81.75" customHeight="1" thickBot="1"/>
    <row r="4769" ht="81.75" customHeight="1" thickBot="1"/>
    <row r="4770" ht="81.75" customHeight="1" thickBot="1"/>
    <row r="4771" ht="81.75" customHeight="1" thickBot="1"/>
    <row r="4772" ht="81.75" customHeight="1" thickBot="1"/>
    <row r="4773" ht="81.75" customHeight="1" thickBot="1"/>
    <row r="4774" ht="81.75" customHeight="1" thickBot="1"/>
    <row r="4775" ht="81.75" customHeight="1" thickBot="1"/>
    <row r="4776" ht="81.75" customHeight="1" thickBot="1"/>
    <row r="4777" ht="81.75" customHeight="1" thickBot="1"/>
    <row r="4778" ht="81.75" customHeight="1" thickBot="1"/>
    <row r="4779" ht="81.75" customHeight="1" thickBot="1"/>
    <row r="4780" ht="81.75" customHeight="1" thickBot="1"/>
    <row r="4781" ht="81.75" customHeight="1" thickBot="1"/>
    <row r="4782" ht="81.75" customHeight="1" thickBot="1"/>
    <row r="4783" ht="81.75" customHeight="1" thickBot="1"/>
    <row r="4784" ht="81.75" customHeight="1" thickBot="1"/>
    <row r="4785" ht="81.75" customHeight="1" thickBot="1"/>
    <row r="4786" ht="81.75" customHeight="1" thickBot="1"/>
    <row r="4787" ht="81.75" customHeight="1" thickBot="1"/>
    <row r="4788" ht="81.75" customHeight="1" thickBot="1"/>
    <row r="4789" ht="81.75" customHeight="1" thickBot="1"/>
    <row r="4790" ht="81.75" customHeight="1" thickBot="1"/>
    <row r="4791" ht="81.75" customHeight="1" thickBot="1"/>
    <row r="4792" ht="81.75" customHeight="1" thickBot="1"/>
    <row r="4793" ht="81.75" customHeight="1" thickBot="1"/>
    <row r="4794" ht="81.75" customHeight="1" thickBot="1"/>
    <row r="4795" ht="81.75" customHeight="1" thickBot="1"/>
    <row r="4796" ht="81.75" customHeight="1" thickBot="1"/>
    <row r="4797" ht="81.75" customHeight="1" thickBot="1"/>
    <row r="4798" ht="81.75" customHeight="1" thickBot="1"/>
    <row r="4799" ht="81.75" customHeight="1" thickBot="1"/>
    <row r="4800" ht="81.75" customHeight="1" thickBot="1"/>
    <row r="4801" ht="81.75" customHeight="1" thickBot="1"/>
    <row r="4802" ht="81.75" customHeight="1" thickBot="1"/>
    <row r="4803" ht="81.75" customHeight="1" thickBot="1"/>
    <row r="4804" ht="81.75" customHeight="1" thickBot="1"/>
    <row r="4805" ht="81.75" customHeight="1" thickBot="1"/>
    <row r="4806" ht="81.75" customHeight="1" thickBot="1"/>
    <row r="4807" ht="81.75" customHeight="1" thickBot="1"/>
    <row r="4808" ht="81.75" customHeight="1" thickBot="1"/>
    <row r="4809" ht="81.75" customHeight="1" thickBot="1"/>
    <row r="4810" ht="81.75" customHeight="1" thickBot="1"/>
    <row r="4811" ht="81.75" customHeight="1" thickBot="1"/>
    <row r="4812" ht="81.75" customHeight="1" thickBot="1"/>
    <row r="4813" ht="81.75" customHeight="1" thickBot="1"/>
    <row r="4814" ht="81.75" customHeight="1" thickBot="1"/>
    <row r="4815" ht="81.75" customHeight="1" thickBot="1"/>
    <row r="4816" ht="81.75" customHeight="1" thickBot="1"/>
    <row r="4817" ht="81.75" customHeight="1" thickBot="1"/>
    <row r="4818" ht="81.75" customHeight="1" thickBot="1"/>
    <row r="4819" ht="81.75" customHeight="1" thickBot="1"/>
    <row r="4820" ht="81.75" customHeight="1" thickBot="1"/>
    <row r="4821" ht="81.75" customHeight="1" thickBot="1"/>
    <row r="4822" ht="81.75" customHeight="1" thickBot="1"/>
    <row r="4823" ht="81.75" customHeight="1" thickBot="1"/>
    <row r="4824" ht="81.75" customHeight="1" thickBot="1"/>
    <row r="4825" ht="81.75" customHeight="1" thickBot="1"/>
    <row r="4826" ht="81.75" customHeight="1" thickBot="1"/>
    <row r="4827" ht="81.75" customHeight="1" thickBot="1"/>
    <row r="4828" ht="81.75" customHeight="1" thickBot="1"/>
    <row r="4829" ht="81.75" customHeight="1" thickBot="1"/>
    <row r="4830" ht="81.75" customHeight="1" thickBot="1"/>
    <row r="4831" ht="81.75" customHeight="1" thickBot="1"/>
    <row r="4832" ht="81.75" customHeight="1" thickBot="1"/>
    <row r="4833" ht="81.75" customHeight="1" thickBot="1"/>
    <row r="4834" ht="81.75" customHeight="1" thickBot="1"/>
    <row r="4835" ht="81.75" customHeight="1" thickBot="1"/>
    <row r="4836" ht="81.75" customHeight="1" thickBot="1"/>
    <row r="4837" ht="81.75" customHeight="1" thickBot="1"/>
    <row r="4838" ht="81.75" customHeight="1" thickBot="1"/>
    <row r="4839" ht="81.75" customHeight="1" thickBot="1"/>
    <row r="4840" ht="81.75" customHeight="1" thickBot="1"/>
    <row r="4841" ht="81.75" customHeight="1" thickBot="1"/>
    <row r="4842" ht="81.75" customHeight="1" thickBot="1"/>
    <row r="4843" ht="81.75" customHeight="1" thickBot="1"/>
    <row r="4844" ht="81.75" customHeight="1" thickBot="1"/>
    <row r="4845" ht="81.75" customHeight="1" thickBot="1"/>
    <row r="4846" ht="81.75" customHeight="1" thickBot="1"/>
    <row r="4847" ht="81.75" customHeight="1" thickBot="1"/>
    <row r="4848" ht="81.75" customHeight="1" thickBot="1"/>
    <row r="4849" ht="81.75" customHeight="1" thickBot="1"/>
    <row r="4850" ht="81.75" customHeight="1" thickBot="1"/>
    <row r="4851" ht="81.75" customHeight="1" thickBot="1"/>
    <row r="4852" ht="81.75" customHeight="1" thickBot="1"/>
    <row r="4853" ht="81.75" customHeight="1" thickBot="1"/>
    <row r="4854" ht="81.75" customHeight="1" thickBot="1"/>
    <row r="4855" ht="81.75" customHeight="1" thickBot="1"/>
    <row r="4856" ht="81.75" customHeight="1" thickBot="1"/>
    <row r="4857" ht="81.75" customHeight="1" thickBot="1"/>
    <row r="4858" ht="81.75" customHeight="1" thickBot="1"/>
    <row r="4859" ht="81.75" customHeight="1" thickBot="1"/>
    <row r="4860" ht="81.75" customHeight="1" thickBot="1"/>
    <row r="4861" ht="81.75" customHeight="1" thickBot="1"/>
    <row r="4862" ht="81.75" customHeight="1" thickBot="1"/>
    <row r="4863" ht="81.75" customHeight="1" thickBot="1"/>
    <row r="4864" ht="81.75" customHeight="1" thickBot="1"/>
    <row r="4865" ht="81.75" customHeight="1" thickBot="1"/>
    <row r="4866" ht="81.75" customHeight="1" thickBot="1"/>
    <row r="4867" ht="81.75" customHeight="1" thickBot="1"/>
    <row r="4868" ht="81.75" customHeight="1" thickBot="1"/>
    <row r="4869" ht="81.75" customHeight="1" thickBot="1"/>
    <row r="4870" ht="81.75" customHeight="1" thickBot="1"/>
    <row r="4871" ht="81.75" customHeight="1" thickBot="1"/>
    <row r="4872" ht="81.75" customHeight="1" thickBot="1"/>
    <row r="4873" ht="81.75" customHeight="1" thickBot="1"/>
    <row r="4874" ht="81.75" customHeight="1" thickBot="1"/>
    <row r="4875" ht="81.75" customHeight="1" thickBot="1"/>
    <row r="4876" ht="81.75" customHeight="1" thickBot="1"/>
    <row r="4877" ht="81.75" customHeight="1" thickBot="1"/>
    <row r="4878" ht="81.75" customHeight="1" thickBot="1"/>
    <row r="4879" ht="81.75" customHeight="1" thickBot="1"/>
    <row r="4880" ht="81.75" customHeight="1" thickBot="1"/>
    <row r="4881" ht="81.75" customHeight="1" thickBot="1"/>
    <row r="4882" ht="81.75" customHeight="1" thickBot="1"/>
    <row r="4883" ht="81.75" customHeight="1" thickBot="1"/>
    <row r="4884" ht="81.75" customHeight="1" thickBot="1"/>
    <row r="4885" ht="81.75" customHeight="1" thickBot="1"/>
    <row r="4886" ht="81.75" customHeight="1" thickBot="1"/>
    <row r="4887" ht="81.75" customHeight="1" thickBot="1"/>
    <row r="4888" ht="81.75" customHeight="1" thickBot="1"/>
    <row r="4889" ht="81.75" customHeight="1" thickBot="1"/>
    <row r="4890" ht="81.75" customHeight="1" thickBot="1"/>
    <row r="4891" ht="81.75" customHeight="1" thickBot="1"/>
    <row r="4892" ht="81.75" customHeight="1" thickBot="1"/>
    <row r="4893" ht="81.75" customHeight="1" thickBot="1"/>
    <row r="4894" ht="81.75" customHeight="1" thickBot="1"/>
    <row r="4895" ht="81.75" customHeight="1" thickBot="1"/>
    <row r="4896" ht="81.75" customHeight="1" thickBot="1"/>
    <row r="4897" ht="81.75" customHeight="1" thickBot="1"/>
    <row r="4898" ht="81.75" customHeight="1" thickBot="1"/>
    <row r="4899" ht="81.75" customHeight="1" thickBot="1"/>
    <row r="4900" ht="81.75" customHeight="1" thickBot="1"/>
    <row r="4901" ht="81.75" customHeight="1" thickBot="1"/>
    <row r="4902" ht="81.75" customHeight="1" thickBot="1"/>
    <row r="4903" ht="81.75" customHeight="1" thickBot="1"/>
    <row r="4904" ht="81.75" customHeight="1" thickBot="1"/>
    <row r="4905" ht="81.75" customHeight="1" thickBot="1"/>
    <row r="4906" ht="81.75" customHeight="1" thickBot="1"/>
    <row r="4907" ht="81.75" customHeight="1" thickBot="1"/>
    <row r="4908" ht="81.75" customHeight="1" thickBot="1"/>
    <row r="4909" ht="81.75" customHeight="1" thickBot="1"/>
    <row r="4910" ht="81.75" customHeight="1" thickBot="1"/>
    <row r="4911" ht="81.75" customHeight="1" thickBot="1"/>
    <row r="4912" ht="81.75" customHeight="1" thickBot="1"/>
    <row r="4913" ht="81.75" customHeight="1" thickBot="1"/>
    <row r="4914" ht="81.75" customHeight="1" thickBot="1"/>
    <row r="4915" ht="81.75" customHeight="1" thickBot="1"/>
    <row r="4916" ht="81.75" customHeight="1" thickBot="1"/>
    <row r="4917" ht="81.75" customHeight="1" thickBot="1"/>
    <row r="4918" ht="81.75" customHeight="1" thickBot="1"/>
    <row r="4919" ht="81.75" customHeight="1" thickBot="1"/>
    <row r="4920" ht="81.75" customHeight="1" thickBot="1"/>
    <row r="4921" ht="81.75" customHeight="1" thickBot="1"/>
    <row r="4922" ht="81.75" customHeight="1" thickBot="1"/>
    <row r="4923" ht="81.75" customHeight="1" thickBot="1"/>
    <row r="4924" ht="81.75" customHeight="1" thickBot="1"/>
    <row r="4925" ht="81.75" customHeight="1" thickBot="1"/>
    <row r="4926" ht="81.75" customHeight="1" thickBot="1"/>
    <row r="4927" ht="81.75" customHeight="1" thickBot="1"/>
    <row r="4928" ht="81.75" customHeight="1" thickBot="1"/>
    <row r="4929" ht="81.75" customHeight="1" thickBot="1"/>
    <row r="4930" ht="81.75" customHeight="1" thickBot="1"/>
    <row r="4931" ht="81.75" customHeight="1" thickBot="1"/>
    <row r="4932" ht="81.75" customHeight="1" thickBot="1"/>
    <row r="4933" ht="81.75" customHeight="1" thickBot="1"/>
    <row r="4934" ht="81.75" customHeight="1" thickBot="1"/>
    <row r="4935" ht="81.75" customHeight="1" thickBot="1"/>
    <row r="4936" ht="81.75" customHeight="1" thickBot="1"/>
    <row r="4937" ht="81.75" customHeight="1" thickBot="1"/>
    <row r="4938" ht="81.75" customHeight="1" thickBot="1"/>
    <row r="4939" ht="81.75" customHeight="1" thickBot="1"/>
    <row r="4940" ht="81.75" customHeight="1" thickBot="1"/>
    <row r="4941" ht="81.75" customHeight="1" thickBot="1"/>
    <row r="4942" ht="81.75" customHeight="1" thickBot="1"/>
    <row r="4943" ht="81.75" customHeight="1" thickBot="1"/>
    <row r="4944" ht="81.75" customHeight="1" thickBot="1"/>
    <row r="4945" ht="81.75" customHeight="1" thickBot="1"/>
    <row r="4946" ht="81.75" customHeight="1" thickBot="1"/>
    <row r="4947" ht="81.75" customHeight="1" thickBot="1"/>
    <row r="4948" ht="81.75" customHeight="1" thickBot="1"/>
    <row r="4949" ht="81.75" customHeight="1" thickBot="1"/>
    <row r="4950" ht="81.75" customHeight="1" thickBot="1"/>
    <row r="4951" ht="81.75" customHeight="1" thickBot="1"/>
    <row r="4952" ht="81.75" customHeight="1" thickBot="1"/>
    <row r="4953" ht="81.75" customHeight="1" thickBot="1"/>
    <row r="4954" ht="81.75" customHeight="1" thickBot="1"/>
    <row r="4955" ht="81.75" customHeight="1" thickBot="1"/>
    <row r="4956" ht="81.75" customHeight="1" thickBot="1"/>
    <row r="4957" ht="81.75" customHeight="1" thickBot="1"/>
    <row r="4958" ht="81.75" customHeight="1" thickBot="1"/>
    <row r="4959" ht="81.75" customHeight="1" thickBot="1"/>
    <row r="4960" ht="81.75" customHeight="1" thickBot="1"/>
    <row r="4961" ht="81.75" customHeight="1" thickBot="1"/>
    <row r="4962" ht="81.75" customHeight="1" thickBot="1"/>
    <row r="4963" ht="81.75" customHeight="1" thickBot="1"/>
    <row r="4964" ht="81.75" customHeight="1" thickBot="1"/>
    <row r="4965" ht="81.75" customHeight="1" thickBot="1"/>
    <row r="4966" ht="81.75" customHeight="1" thickBot="1"/>
    <row r="4967" ht="81.75" customHeight="1" thickBot="1"/>
    <row r="4968" ht="81.75" customHeight="1" thickBot="1"/>
    <row r="4969" ht="81.75" customHeight="1" thickBot="1"/>
    <row r="4970" ht="81.75" customHeight="1" thickBot="1"/>
    <row r="4971" ht="81.75" customHeight="1" thickBot="1"/>
    <row r="4972" ht="81.75" customHeight="1" thickBot="1"/>
    <row r="4973" ht="81.75" customHeight="1" thickBot="1"/>
    <row r="4974" ht="81.75" customHeight="1" thickBot="1"/>
    <row r="4975" ht="81.75" customHeight="1" thickBot="1"/>
    <row r="4976" ht="81.75" customHeight="1" thickBot="1"/>
    <row r="4977" ht="81.75" customHeight="1" thickBot="1"/>
    <row r="4978" ht="81.75" customHeight="1" thickBot="1"/>
    <row r="4979" ht="81.75" customHeight="1" thickBot="1"/>
    <row r="4980" ht="81.75" customHeight="1" thickBot="1"/>
    <row r="4981" ht="81.75" customHeight="1" thickBot="1"/>
    <row r="4982" ht="81.75" customHeight="1" thickBot="1"/>
    <row r="4983" ht="81.75" customHeight="1" thickBot="1"/>
    <row r="4984" ht="81.75" customHeight="1" thickBot="1"/>
    <row r="4985" ht="81.75" customHeight="1" thickBot="1"/>
    <row r="4986" ht="81.75" customHeight="1" thickBot="1"/>
    <row r="4987" ht="81.75" customHeight="1" thickBot="1"/>
    <row r="4988" ht="81.75" customHeight="1" thickBot="1"/>
    <row r="4989" ht="81.75" customHeight="1" thickBot="1"/>
    <row r="4990" ht="81.75" customHeight="1" thickBot="1"/>
    <row r="4991" ht="81.75" customHeight="1" thickBot="1"/>
    <row r="4992" ht="81.75" customHeight="1" thickBot="1"/>
    <row r="4993" ht="81.75" customHeight="1" thickBot="1"/>
    <row r="4994" ht="81.75" customHeight="1" thickBot="1"/>
    <row r="4995" ht="81.75" customHeight="1" thickBot="1"/>
    <row r="4996" ht="81.75" customHeight="1" thickBot="1"/>
    <row r="4997" ht="81.75" customHeight="1" thickBot="1"/>
    <row r="4998" ht="81.75" customHeight="1" thickBot="1"/>
    <row r="4999" ht="81.75" customHeight="1" thickBot="1"/>
    <row r="5000" ht="81.75" customHeight="1" thickBot="1"/>
    <row r="5001" ht="81.75" customHeight="1" thickBot="1"/>
    <row r="5002" ht="81.75" customHeight="1" thickBot="1"/>
    <row r="5003" ht="81.75" customHeight="1" thickBot="1"/>
    <row r="5004" ht="81.75" customHeight="1" thickBot="1"/>
    <row r="5005" ht="81.75" customHeight="1" thickBot="1"/>
    <row r="5006" ht="81.75" customHeight="1" thickBot="1"/>
    <row r="5007" ht="81.75" customHeight="1" thickBot="1"/>
    <row r="5008" ht="81.75" customHeight="1" thickBot="1"/>
    <row r="5009" ht="81.75" customHeight="1" thickBot="1"/>
    <row r="5010" ht="81.75" customHeight="1" thickBot="1"/>
    <row r="5011" ht="81.75" customHeight="1" thickBot="1"/>
    <row r="5012" ht="81.75" customHeight="1" thickBot="1"/>
    <row r="5013" ht="81.75" customHeight="1" thickBot="1"/>
    <row r="5014" ht="81.75" customHeight="1" thickBot="1"/>
    <row r="5015" ht="81.75" customHeight="1" thickBot="1"/>
    <row r="5016" ht="81.75" customHeight="1" thickBot="1"/>
    <row r="5017" ht="81.75" customHeight="1" thickBot="1"/>
    <row r="5018" ht="81.75" customHeight="1" thickBot="1"/>
    <row r="5019" ht="81.75" customHeight="1" thickBot="1"/>
    <row r="5020" ht="81.75" customHeight="1" thickBot="1"/>
    <row r="5021" ht="81.75" customHeight="1" thickBot="1"/>
    <row r="5022" ht="81.75" customHeight="1" thickBot="1"/>
    <row r="5023" ht="81.75" customHeight="1" thickBot="1"/>
    <row r="5024" ht="81.75" customHeight="1" thickBot="1"/>
    <row r="5025" ht="81.75" customHeight="1" thickBot="1"/>
    <row r="5026" ht="81.75" customHeight="1" thickBot="1"/>
    <row r="5027" ht="81.75" customHeight="1" thickBot="1"/>
    <row r="5028" ht="81.75" customHeight="1" thickBot="1"/>
    <row r="5029" ht="81.75" customHeight="1" thickBot="1"/>
    <row r="5030" ht="81.75" customHeight="1" thickBot="1"/>
    <row r="5031" ht="81.75" customHeight="1" thickBot="1"/>
    <row r="5032" ht="81.75" customHeight="1" thickBot="1"/>
    <row r="5033" ht="81.75" customHeight="1" thickBot="1"/>
    <row r="5034" ht="81.75" customHeight="1" thickBot="1"/>
    <row r="5035" ht="81.75" customHeight="1" thickBot="1"/>
    <row r="5036" ht="81.75" customHeight="1" thickBot="1"/>
    <row r="5037" ht="81.75" customHeight="1" thickBot="1"/>
    <row r="5038" ht="81.75" customHeight="1" thickBot="1"/>
    <row r="5039" ht="81.75" customHeight="1" thickBot="1"/>
    <row r="5040" ht="81.75" customHeight="1" thickBot="1"/>
    <row r="5041" ht="81.75" customHeight="1" thickBot="1"/>
    <row r="5042" ht="81.75" customHeight="1" thickBot="1"/>
    <row r="5043" ht="81.75" customHeight="1" thickBot="1"/>
    <row r="5044" ht="81.75" customHeight="1" thickBot="1"/>
    <row r="5045" ht="81.75" customHeight="1" thickBot="1"/>
    <row r="5046" ht="81.75" customHeight="1" thickBot="1"/>
    <row r="5047" ht="81.75" customHeight="1" thickBot="1"/>
    <row r="5048" ht="81.75" customHeight="1" thickBot="1"/>
    <row r="5049" ht="81.75" customHeight="1" thickBot="1"/>
    <row r="5050" ht="81.75" customHeight="1" thickBot="1"/>
    <row r="5051" ht="81.75" customHeight="1" thickBot="1"/>
    <row r="5052" ht="81.75" customHeight="1" thickBot="1"/>
    <row r="5053" ht="81.75" customHeight="1" thickBot="1"/>
    <row r="5054" ht="81.75" customHeight="1" thickBot="1"/>
    <row r="5055" ht="81.75" customHeight="1" thickBot="1"/>
    <row r="5056" ht="81.75" customHeight="1" thickBot="1"/>
    <row r="5057" ht="81.75" customHeight="1" thickBot="1"/>
    <row r="5058" ht="81.75" customHeight="1" thickBot="1"/>
    <row r="5059" ht="81.75" customHeight="1" thickBot="1"/>
    <row r="5060" ht="81.75" customHeight="1" thickBot="1"/>
    <row r="5061" ht="81.75" customHeight="1" thickBot="1"/>
    <row r="5062" ht="81.75" customHeight="1" thickBot="1"/>
    <row r="5063" ht="81.75" customHeight="1" thickBot="1"/>
    <row r="5064" ht="81.75" customHeight="1" thickBot="1"/>
    <row r="5065" ht="81.75" customHeight="1" thickBot="1"/>
    <row r="5066" ht="81.75" customHeight="1" thickBot="1"/>
    <row r="5067" ht="81.75" customHeight="1" thickBot="1"/>
    <row r="5068" ht="81.75" customHeight="1" thickBot="1"/>
    <row r="5069" ht="81.75" customHeight="1" thickBot="1"/>
    <row r="5070" ht="81.75" customHeight="1" thickBot="1"/>
    <row r="5071" ht="81.75" customHeight="1" thickBot="1"/>
    <row r="5072" ht="81.75" customHeight="1" thickBot="1"/>
    <row r="5073" ht="81.75" customHeight="1" thickBot="1"/>
    <row r="5074" ht="81.75" customHeight="1" thickBot="1"/>
    <row r="5075" ht="81.75" customHeight="1" thickBot="1"/>
    <row r="5076" ht="81.75" customHeight="1" thickBot="1"/>
    <row r="5077" ht="81.75" customHeight="1" thickBot="1"/>
    <row r="5078" ht="81.75" customHeight="1" thickBot="1"/>
    <row r="5079" ht="81.75" customHeight="1" thickBot="1"/>
    <row r="5080" ht="81.75" customHeight="1" thickBot="1"/>
    <row r="5081" ht="81.75" customHeight="1" thickBot="1"/>
    <row r="5082" ht="81.75" customHeight="1" thickBot="1"/>
    <row r="5083" ht="81.75" customHeight="1" thickBot="1"/>
    <row r="5084" ht="81.75" customHeight="1" thickBot="1"/>
    <row r="5085" ht="81.75" customHeight="1" thickBot="1"/>
    <row r="5086" ht="81.75" customHeight="1" thickBot="1"/>
    <row r="5087" ht="81.75" customHeight="1" thickBot="1"/>
    <row r="5088" ht="81.75" customHeight="1" thickBot="1"/>
    <row r="5089" ht="81.75" customHeight="1" thickBot="1"/>
    <row r="5090" ht="81.75" customHeight="1" thickBot="1"/>
    <row r="5091" ht="81.75" customHeight="1" thickBot="1"/>
    <row r="5092" ht="81.75" customHeight="1" thickBot="1"/>
    <row r="5093" ht="81.75" customHeight="1" thickBot="1"/>
    <row r="5094" ht="81.75" customHeight="1" thickBot="1"/>
    <row r="5095" ht="81.75" customHeight="1" thickBot="1"/>
    <row r="5096" ht="81.75" customHeight="1" thickBot="1"/>
    <row r="5097" ht="81.75" customHeight="1" thickBot="1"/>
    <row r="5098" ht="81.75" customHeight="1" thickBot="1"/>
    <row r="5099" ht="81.75" customHeight="1" thickBot="1"/>
    <row r="5100" ht="81.75" customHeight="1" thickBot="1"/>
    <row r="5101" ht="81.75" customHeight="1" thickBot="1"/>
    <row r="5102" ht="81.75" customHeight="1" thickBot="1"/>
    <row r="5103" ht="81.75" customHeight="1" thickBot="1"/>
    <row r="5104" ht="81.75" customHeight="1" thickBot="1"/>
    <row r="5105" ht="81.75" customHeight="1" thickBot="1"/>
    <row r="5106" ht="81.75" customHeight="1" thickBot="1"/>
    <row r="5107" ht="81.75" customHeight="1" thickBot="1"/>
    <row r="5108" ht="81.75" customHeight="1" thickBot="1"/>
    <row r="5109" ht="81.75" customHeight="1" thickBot="1"/>
    <row r="5110" ht="81.75" customHeight="1" thickBot="1"/>
    <row r="5111" ht="81.75" customHeight="1" thickBot="1"/>
    <row r="5112" ht="81.75" customHeight="1" thickBot="1"/>
    <row r="5113" ht="81.75" customHeight="1" thickBot="1"/>
    <row r="5114" ht="81.75" customHeight="1" thickBot="1"/>
    <row r="5115" ht="81.75" customHeight="1" thickBot="1"/>
    <row r="5116" ht="81.75" customHeight="1" thickBot="1"/>
    <row r="5117" ht="81.75" customHeight="1" thickBot="1"/>
    <row r="5118" ht="81.75" customHeight="1" thickBot="1"/>
    <row r="5119" ht="81.75" customHeight="1" thickBot="1"/>
    <row r="5120" ht="81.75" customHeight="1" thickBot="1"/>
    <row r="5121" ht="81.75" customHeight="1" thickBot="1"/>
    <row r="5122" ht="81.75" customHeight="1" thickBot="1"/>
    <row r="5123" ht="81.75" customHeight="1" thickBot="1"/>
    <row r="5124" ht="81.75" customHeight="1" thickBot="1"/>
    <row r="5125" ht="81.75" customHeight="1" thickBot="1"/>
    <row r="5126" ht="81.75" customHeight="1" thickBot="1"/>
    <row r="5127" ht="81.75" customHeight="1" thickBot="1"/>
    <row r="5128" ht="81.75" customHeight="1" thickBot="1"/>
    <row r="5129" ht="81.75" customHeight="1" thickBot="1"/>
    <row r="5130" ht="81.75" customHeight="1" thickBot="1"/>
    <row r="5131" ht="81.75" customHeight="1" thickBot="1"/>
    <row r="5132" ht="81.75" customHeight="1" thickBot="1"/>
    <row r="5133" ht="81.75" customHeight="1" thickBot="1"/>
    <row r="5134" ht="81.75" customHeight="1" thickBot="1"/>
    <row r="5135" ht="81.75" customHeight="1" thickBot="1"/>
    <row r="5136" ht="81.75" customHeight="1" thickBot="1"/>
    <row r="5137" ht="81.75" customHeight="1" thickBot="1"/>
    <row r="5138" ht="81.75" customHeight="1" thickBot="1"/>
    <row r="5139" ht="81.75" customHeight="1" thickBot="1"/>
    <row r="5140" ht="81.75" customHeight="1" thickBot="1"/>
    <row r="5141" ht="81.75" customHeight="1" thickBot="1"/>
    <row r="5142" ht="81.75" customHeight="1" thickBot="1"/>
    <row r="5143" ht="81.75" customHeight="1" thickBot="1"/>
    <row r="5144" ht="81.75" customHeight="1" thickBot="1"/>
    <row r="5145" ht="81.75" customHeight="1" thickBot="1"/>
    <row r="5146" ht="81.75" customHeight="1" thickBot="1"/>
    <row r="5147" ht="81.75" customHeight="1" thickBot="1"/>
    <row r="5148" ht="81.75" customHeight="1" thickBot="1"/>
    <row r="5149" ht="81.75" customHeight="1" thickBot="1"/>
    <row r="5150" ht="81.75" customHeight="1" thickBot="1"/>
    <row r="5151" ht="81.75" customHeight="1" thickBot="1"/>
    <row r="5152" ht="81.75" customHeight="1" thickBot="1"/>
    <row r="5153" ht="81.75" customHeight="1" thickBot="1"/>
    <row r="5154" ht="81.75" customHeight="1" thickBot="1"/>
    <row r="5155" ht="81.75" customHeight="1" thickBot="1"/>
    <row r="5156" ht="81.75" customHeight="1" thickBot="1"/>
    <row r="5157" ht="81.75" customHeight="1" thickBot="1"/>
    <row r="5158" ht="81.75" customHeight="1" thickBot="1"/>
    <row r="5159" ht="81.75" customHeight="1" thickBot="1"/>
    <row r="5160" ht="81.75" customHeight="1" thickBot="1"/>
    <row r="5161" ht="81.75" customHeight="1" thickBot="1"/>
    <row r="5162" ht="81.75" customHeight="1" thickBot="1"/>
    <row r="5163" ht="81.75" customHeight="1" thickBot="1"/>
    <row r="5164" ht="81.75" customHeight="1" thickBot="1"/>
    <row r="5165" ht="81.75" customHeight="1" thickBot="1"/>
    <row r="5166" ht="81.75" customHeight="1" thickBot="1"/>
    <row r="5167" ht="81.75" customHeight="1" thickBot="1"/>
    <row r="5168" ht="81.75" customHeight="1" thickBot="1"/>
    <row r="5169" ht="81.75" customHeight="1" thickBot="1"/>
    <row r="5170" ht="81.75" customHeight="1" thickBot="1"/>
    <row r="5171" ht="81.75" customHeight="1" thickBot="1"/>
    <row r="5172" ht="81.75" customHeight="1" thickBot="1"/>
    <row r="5173" ht="81.75" customHeight="1" thickBot="1"/>
    <row r="5174" ht="81.75" customHeight="1" thickBot="1"/>
    <row r="5175" ht="81.75" customHeight="1" thickBot="1"/>
    <row r="5176" ht="81.75" customHeight="1" thickBot="1"/>
    <row r="5177" ht="81.75" customHeight="1" thickBot="1"/>
    <row r="5178" ht="81.75" customHeight="1" thickBot="1"/>
    <row r="5179" ht="81.75" customHeight="1" thickBot="1"/>
    <row r="5180" ht="81.75" customHeight="1" thickBot="1"/>
    <row r="5181" ht="81.75" customHeight="1" thickBot="1"/>
    <row r="5182" ht="81.75" customHeight="1" thickBot="1"/>
    <row r="5183" ht="81.75" customHeight="1" thickBot="1"/>
    <row r="5184" ht="81.75" customHeight="1" thickBot="1"/>
    <row r="5185" ht="81.75" customHeight="1" thickBot="1"/>
    <row r="5186" ht="81.75" customHeight="1" thickBot="1"/>
    <row r="5187" ht="81.75" customHeight="1" thickBot="1"/>
    <row r="5188" ht="81.75" customHeight="1" thickBot="1"/>
    <row r="5189" ht="81.75" customHeight="1" thickBot="1"/>
    <row r="5190" ht="81.75" customHeight="1" thickBot="1"/>
    <row r="5191" ht="81.75" customHeight="1" thickBot="1"/>
    <row r="5192" ht="81.75" customHeight="1" thickBot="1"/>
    <row r="5193" ht="81.75" customHeight="1" thickBot="1"/>
    <row r="5194" ht="81.75" customHeight="1" thickBot="1"/>
    <row r="5195" ht="81.75" customHeight="1" thickBot="1"/>
    <row r="5196" ht="81.75" customHeight="1" thickBot="1"/>
    <row r="5197" ht="81.75" customHeight="1" thickBot="1"/>
    <row r="5198" ht="81.75" customHeight="1" thickBot="1"/>
    <row r="5199" ht="81.75" customHeight="1" thickBot="1"/>
    <row r="5200" ht="81.75" customHeight="1" thickBot="1"/>
    <row r="5201" ht="81.75" customHeight="1" thickBot="1"/>
    <row r="5202" ht="81.75" customHeight="1" thickBot="1"/>
    <row r="5203" ht="81.75" customHeight="1" thickBot="1"/>
    <row r="5204" ht="81.75" customHeight="1" thickBot="1"/>
    <row r="5205" ht="81.75" customHeight="1" thickBot="1"/>
    <row r="5206" ht="81.75" customHeight="1" thickBot="1"/>
    <row r="5207" ht="81.75" customHeight="1" thickBot="1"/>
    <row r="5208" ht="81.75" customHeight="1" thickBot="1"/>
    <row r="5209" ht="81.75" customHeight="1" thickBot="1"/>
    <row r="5210" ht="81.75" customHeight="1" thickBot="1"/>
    <row r="5211" ht="81.75" customHeight="1" thickBot="1"/>
    <row r="5212" ht="81.75" customHeight="1" thickBot="1"/>
    <row r="5213" ht="81.75" customHeight="1" thickBot="1"/>
    <row r="5214" ht="81.75" customHeight="1" thickBot="1"/>
    <row r="5215" ht="81.75" customHeight="1" thickBot="1"/>
    <row r="5216" ht="81.75" customHeight="1" thickBot="1"/>
    <row r="5217" ht="81.75" customHeight="1" thickBot="1"/>
    <row r="5218" ht="81.75" customHeight="1" thickBot="1"/>
    <row r="5219" ht="81.75" customHeight="1" thickBot="1"/>
    <row r="5220" ht="81.75" customHeight="1" thickBot="1"/>
    <row r="5221" ht="81.75" customHeight="1" thickBot="1"/>
    <row r="5222" ht="81.75" customHeight="1" thickBot="1"/>
    <row r="5223" ht="81.75" customHeight="1" thickBot="1"/>
    <row r="5224" ht="81.75" customHeight="1" thickBot="1"/>
    <row r="5225" ht="81.75" customHeight="1" thickBot="1"/>
    <row r="5226" ht="81.75" customHeight="1" thickBot="1"/>
    <row r="5227" ht="81.75" customHeight="1" thickBot="1"/>
    <row r="5228" ht="81.75" customHeight="1" thickBot="1"/>
    <row r="5229" ht="81.75" customHeight="1" thickBot="1"/>
    <row r="5230" ht="81.75" customHeight="1" thickBot="1"/>
    <row r="5231" ht="81.75" customHeight="1" thickBot="1"/>
    <row r="5232" ht="81.75" customHeight="1" thickBot="1"/>
    <row r="5233" ht="81.75" customHeight="1" thickBot="1"/>
    <row r="5234" ht="81.75" customHeight="1" thickBot="1"/>
    <row r="5235" ht="81.75" customHeight="1" thickBot="1"/>
    <row r="5236" ht="81.75" customHeight="1" thickBot="1"/>
    <row r="5237" ht="81.75" customHeight="1" thickBot="1"/>
    <row r="5238" ht="81.75" customHeight="1" thickBot="1"/>
    <row r="5239" ht="81.75" customHeight="1" thickBot="1"/>
    <row r="5240" ht="81.75" customHeight="1" thickBot="1"/>
    <row r="5241" ht="81.75" customHeight="1" thickBot="1"/>
    <row r="5242" ht="81.75" customHeight="1" thickBot="1"/>
    <row r="5243" ht="81.75" customHeight="1" thickBot="1"/>
    <row r="5244" ht="81.75" customHeight="1" thickBot="1"/>
    <row r="5245" ht="81.75" customHeight="1" thickBot="1"/>
    <row r="5246" ht="81.75" customHeight="1" thickBot="1"/>
    <row r="5247" ht="81.75" customHeight="1" thickBot="1"/>
    <row r="5248" ht="81.75" customHeight="1" thickBot="1"/>
    <row r="5249" ht="81.75" customHeight="1" thickBot="1"/>
    <row r="5250" ht="81.75" customHeight="1" thickBot="1"/>
    <row r="5251" ht="81.75" customHeight="1" thickBot="1"/>
    <row r="5252" ht="81.75" customHeight="1" thickBot="1"/>
    <row r="5253" ht="81.75" customHeight="1" thickBot="1"/>
    <row r="5254" ht="81.75" customHeight="1" thickBot="1"/>
    <row r="5255" ht="81.75" customHeight="1" thickBot="1"/>
    <row r="5256" ht="81.75" customHeight="1" thickBot="1"/>
    <row r="5257" ht="81.75" customHeight="1" thickBot="1"/>
    <row r="5258" ht="81.75" customHeight="1" thickBot="1"/>
    <row r="5259" ht="81.75" customHeight="1" thickBot="1"/>
    <row r="5260" ht="81.75" customHeight="1" thickBot="1"/>
    <row r="5261" ht="81.75" customHeight="1" thickBot="1"/>
    <row r="5262" ht="81.75" customHeight="1" thickBot="1"/>
    <row r="5263" ht="81.75" customHeight="1" thickBot="1"/>
    <row r="5264" ht="81.75" customHeight="1" thickBot="1"/>
    <row r="5265" ht="81.75" customHeight="1" thickBot="1"/>
    <row r="5266" ht="81.75" customHeight="1" thickBot="1"/>
    <row r="5267" ht="81.75" customHeight="1" thickBot="1"/>
    <row r="5268" ht="81.75" customHeight="1" thickBot="1"/>
    <row r="5269" ht="81.75" customHeight="1" thickBot="1"/>
    <row r="5270" ht="81.75" customHeight="1" thickBot="1"/>
    <row r="5271" ht="81.75" customHeight="1" thickBot="1"/>
    <row r="5272" ht="81.75" customHeight="1" thickBot="1"/>
    <row r="5273" ht="81.75" customHeight="1" thickBot="1"/>
    <row r="5274" ht="81.75" customHeight="1" thickBot="1"/>
    <row r="5275" ht="81.75" customHeight="1" thickBot="1"/>
    <row r="5276" ht="81.75" customHeight="1" thickBot="1"/>
    <row r="5277" ht="81.75" customHeight="1" thickBot="1"/>
    <row r="5278" ht="81.75" customHeight="1" thickBot="1"/>
    <row r="5279" ht="81.75" customHeight="1" thickBot="1"/>
    <row r="5280" ht="81.75" customHeight="1" thickBot="1"/>
    <row r="5281" ht="81.75" customHeight="1" thickBot="1"/>
    <row r="5282" ht="81.75" customHeight="1" thickBot="1"/>
    <row r="5283" ht="81.75" customHeight="1" thickBot="1"/>
    <row r="5284" ht="81.75" customHeight="1" thickBot="1"/>
    <row r="5285" ht="81.75" customHeight="1" thickBot="1"/>
    <row r="5286" ht="81.75" customHeight="1" thickBot="1"/>
    <row r="5287" ht="81.75" customHeight="1" thickBot="1"/>
    <row r="5288" ht="81.75" customHeight="1" thickBot="1"/>
    <row r="5289" ht="81.75" customHeight="1" thickBot="1"/>
    <row r="5290" ht="81.75" customHeight="1" thickBot="1"/>
    <row r="5291" ht="81.75" customHeight="1" thickBot="1"/>
    <row r="5292" ht="81.75" customHeight="1" thickBot="1"/>
    <row r="5293" ht="81.75" customHeight="1" thickBot="1"/>
    <row r="5294" ht="81.75" customHeight="1" thickBot="1"/>
    <row r="5295" ht="81.75" customHeight="1" thickBot="1"/>
    <row r="5296" ht="81.75" customHeight="1" thickBot="1"/>
    <row r="5297" ht="81.75" customHeight="1" thickBot="1"/>
    <row r="5298" ht="81.75" customHeight="1" thickBot="1"/>
    <row r="5299" ht="81.75" customHeight="1" thickBot="1"/>
    <row r="5300" ht="81.75" customHeight="1" thickBot="1"/>
    <row r="5301" ht="81.75" customHeight="1" thickBot="1"/>
    <row r="5302" ht="81.75" customHeight="1" thickBot="1"/>
    <row r="5303" ht="81.75" customHeight="1" thickBot="1"/>
    <row r="5304" ht="81.75" customHeight="1" thickBot="1"/>
    <row r="5305" ht="81.75" customHeight="1" thickBot="1"/>
    <row r="5306" ht="81.75" customHeight="1" thickBot="1"/>
    <row r="5307" ht="81.75" customHeight="1" thickBot="1"/>
    <row r="5308" ht="81.75" customHeight="1" thickBot="1"/>
    <row r="5309" ht="81.75" customHeight="1" thickBot="1"/>
    <row r="5310" ht="81.75" customHeight="1" thickBot="1"/>
    <row r="5311" ht="81.75" customHeight="1" thickBot="1"/>
    <row r="5312" ht="81.75" customHeight="1" thickBot="1"/>
    <row r="5313" ht="81.75" customHeight="1" thickBot="1"/>
    <row r="5314" ht="81.75" customHeight="1" thickBot="1"/>
    <row r="5315" ht="81.75" customHeight="1" thickBot="1"/>
    <row r="5316" ht="81.75" customHeight="1" thickBot="1"/>
    <row r="5317" ht="81.75" customHeight="1" thickBot="1"/>
    <row r="5318" ht="81.75" customHeight="1" thickBot="1"/>
    <row r="5319" ht="81.75" customHeight="1" thickBot="1"/>
    <row r="5320" ht="81.75" customHeight="1" thickBot="1"/>
    <row r="5321" ht="81.75" customHeight="1" thickBot="1"/>
    <row r="5322" ht="81.75" customHeight="1" thickBot="1"/>
    <row r="5323" ht="81.75" customHeight="1" thickBot="1"/>
    <row r="5324" ht="81.75" customHeight="1" thickBot="1"/>
    <row r="5325" ht="81.75" customHeight="1" thickBot="1"/>
    <row r="5326" ht="81.75" customHeight="1" thickBot="1"/>
    <row r="5327" ht="81.75" customHeight="1" thickBot="1"/>
    <row r="5328" ht="81.75" customHeight="1" thickBot="1"/>
    <row r="5329" ht="81.75" customHeight="1" thickBot="1"/>
    <row r="5330" ht="81.75" customHeight="1" thickBot="1"/>
    <row r="5331" ht="81.75" customHeight="1" thickBot="1"/>
    <row r="5332" ht="81.75" customHeight="1" thickBot="1"/>
    <row r="5333" ht="81.75" customHeight="1" thickBot="1"/>
    <row r="5334" ht="81.75" customHeight="1" thickBot="1"/>
    <row r="5335" ht="81.75" customHeight="1" thickBot="1"/>
    <row r="5336" ht="81.75" customHeight="1" thickBot="1"/>
    <row r="5337" ht="81.75" customHeight="1" thickBot="1"/>
    <row r="5338" ht="81.75" customHeight="1" thickBot="1"/>
    <row r="5339" ht="81.75" customHeight="1" thickBot="1"/>
    <row r="5340" ht="81.75" customHeight="1" thickBot="1"/>
    <row r="5341" ht="81.75" customHeight="1" thickBot="1"/>
    <row r="5342" ht="81.75" customHeight="1" thickBot="1"/>
    <row r="5343" ht="81.75" customHeight="1" thickBot="1"/>
    <row r="5344" ht="81.75" customHeight="1" thickBot="1"/>
    <row r="5345" ht="81.75" customHeight="1" thickBot="1"/>
    <row r="5346" ht="81.75" customHeight="1" thickBot="1"/>
    <row r="5347" ht="81.75" customHeight="1" thickBot="1"/>
    <row r="5348" ht="81.75" customHeight="1" thickBot="1"/>
    <row r="5349" ht="81.75" customHeight="1" thickBot="1"/>
    <row r="5350" ht="81.75" customHeight="1" thickBot="1"/>
    <row r="5351" ht="81.75" customHeight="1" thickBot="1"/>
    <row r="5352" ht="81.75" customHeight="1" thickBot="1"/>
    <row r="5353" ht="81.75" customHeight="1" thickBot="1"/>
    <row r="5354" ht="81.75" customHeight="1" thickBot="1"/>
    <row r="5355" ht="81.75" customHeight="1" thickBot="1"/>
    <row r="5356" ht="81.75" customHeight="1" thickBot="1"/>
    <row r="5357" ht="81.75" customHeight="1" thickBot="1"/>
    <row r="5358" ht="81.75" customHeight="1" thickBot="1"/>
    <row r="5359" ht="81.75" customHeight="1" thickBot="1"/>
    <row r="5360" ht="81.75" customHeight="1" thickBot="1"/>
    <row r="5361" ht="81.75" customHeight="1" thickBot="1"/>
    <row r="5362" ht="81.75" customHeight="1" thickBot="1"/>
    <row r="5363" ht="81.75" customHeight="1" thickBot="1"/>
    <row r="5364" ht="81.75" customHeight="1" thickBot="1"/>
    <row r="5365" ht="81.75" customHeight="1" thickBot="1"/>
    <row r="5366" ht="81.75" customHeight="1" thickBot="1"/>
    <row r="5367" ht="81.75" customHeight="1" thickBot="1"/>
    <row r="5368" ht="81.75" customHeight="1" thickBot="1"/>
    <row r="5369" ht="81.75" customHeight="1" thickBot="1"/>
    <row r="5370" ht="81.75" customHeight="1" thickBot="1"/>
    <row r="5371" ht="81.75" customHeight="1" thickBot="1"/>
    <row r="5372" ht="81.75" customHeight="1" thickBot="1"/>
    <row r="5373" ht="81.75" customHeight="1" thickBot="1"/>
    <row r="5374" ht="81.75" customHeight="1" thickBot="1"/>
    <row r="5375" ht="81.75" customHeight="1" thickBot="1"/>
    <row r="5376" ht="81.75" customHeight="1" thickBot="1"/>
    <row r="5377" ht="81.75" customHeight="1" thickBot="1"/>
    <row r="5378" ht="81.75" customHeight="1" thickBot="1"/>
    <row r="5379" ht="81.75" customHeight="1" thickBot="1"/>
    <row r="5380" ht="81.75" customHeight="1" thickBot="1"/>
    <row r="5381" ht="81.75" customHeight="1" thickBot="1"/>
    <row r="5382" ht="81.75" customHeight="1" thickBot="1"/>
    <row r="5383" ht="81.75" customHeight="1" thickBot="1"/>
    <row r="5384" ht="81.75" customHeight="1" thickBot="1"/>
    <row r="5385" ht="81.75" customHeight="1" thickBot="1"/>
    <row r="5386" ht="81.75" customHeight="1" thickBot="1"/>
    <row r="5387" ht="81.75" customHeight="1" thickBot="1"/>
    <row r="5388" ht="81.75" customHeight="1" thickBot="1"/>
    <row r="5389" ht="81.75" customHeight="1" thickBot="1"/>
    <row r="5390" ht="81.75" customHeight="1" thickBot="1"/>
    <row r="5391" ht="81.75" customHeight="1" thickBot="1"/>
    <row r="5392" ht="81.75" customHeight="1" thickBot="1"/>
    <row r="5393" ht="81.75" customHeight="1" thickBot="1"/>
    <row r="5394" ht="81.75" customHeight="1" thickBot="1"/>
    <row r="5395" ht="81.75" customHeight="1" thickBot="1"/>
    <row r="5396" ht="81.75" customHeight="1" thickBot="1"/>
    <row r="5397" ht="81.75" customHeight="1" thickBot="1"/>
    <row r="5398" ht="81.75" customHeight="1" thickBot="1"/>
    <row r="5399" ht="81.75" customHeight="1" thickBot="1"/>
    <row r="5400" ht="81.75" customHeight="1" thickBot="1"/>
    <row r="5401" ht="81.75" customHeight="1" thickBot="1"/>
    <row r="5402" ht="81.75" customHeight="1" thickBot="1"/>
    <row r="5403" ht="81.75" customHeight="1" thickBot="1"/>
    <row r="5404" ht="81.75" customHeight="1" thickBot="1"/>
    <row r="5405" ht="81.75" customHeight="1" thickBot="1"/>
    <row r="5406" ht="81.75" customHeight="1" thickBot="1"/>
    <row r="5407" ht="81.75" customHeight="1" thickBot="1"/>
    <row r="5408" ht="81.75" customHeight="1" thickBot="1"/>
    <row r="5409" ht="81.75" customHeight="1" thickBot="1"/>
    <row r="5410" ht="81.75" customHeight="1" thickBot="1"/>
    <row r="5411" ht="81.75" customHeight="1" thickBot="1"/>
    <row r="5412" ht="81.75" customHeight="1" thickBot="1"/>
    <row r="5413" ht="81.75" customHeight="1" thickBot="1"/>
    <row r="5414" ht="81.75" customHeight="1" thickBot="1"/>
    <row r="5415" ht="81.75" customHeight="1" thickBot="1"/>
    <row r="5416" ht="81.75" customHeight="1" thickBot="1"/>
    <row r="5417" ht="81.75" customHeight="1" thickBot="1"/>
    <row r="5418" ht="81.75" customHeight="1" thickBot="1"/>
    <row r="5419" ht="81.75" customHeight="1" thickBot="1"/>
    <row r="5420" ht="81.75" customHeight="1" thickBot="1"/>
    <row r="5421" ht="81.75" customHeight="1" thickBot="1"/>
    <row r="5422" ht="81.75" customHeight="1" thickBot="1"/>
    <row r="5423" ht="81.75" customHeight="1" thickBot="1"/>
    <row r="5424" ht="81.75" customHeight="1" thickBot="1"/>
    <row r="5425" ht="81.75" customHeight="1" thickBot="1"/>
    <row r="5426" ht="81.75" customHeight="1" thickBot="1"/>
    <row r="5427" ht="81.75" customHeight="1" thickBot="1"/>
    <row r="5428" ht="81.75" customHeight="1" thickBot="1"/>
    <row r="5429" ht="81.75" customHeight="1" thickBot="1"/>
    <row r="5430" ht="81.75" customHeight="1" thickBot="1"/>
    <row r="5431" ht="81.75" customHeight="1" thickBot="1"/>
    <row r="5432" ht="81.75" customHeight="1" thickBot="1"/>
    <row r="5433" ht="81.75" customHeight="1" thickBot="1"/>
    <row r="5434" ht="81.75" customHeight="1" thickBot="1"/>
    <row r="5435" ht="81.75" customHeight="1" thickBot="1"/>
    <row r="5436" ht="81.75" customHeight="1" thickBot="1"/>
    <row r="5437" ht="81.75" customHeight="1" thickBot="1"/>
    <row r="5438" ht="81.75" customHeight="1" thickBot="1"/>
    <row r="5439" ht="81.75" customHeight="1" thickBot="1"/>
    <row r="5440" ht="81.75" customHeight="1" thickBot="1"/>
    <row r="5441" ht="81.75" customHeight="1" thickBot="1"/>
    <row r="5442" ht="81.75" customHeight="1" thickBot="1"/>
    <row r="5443" ht="81.75" customHeight="1" thickBot="1"/>
    <row r="5444" ht="81.75" customHeight="1" thickBot="1"/>
    <row r="5445" ht="81.75" customHeight="1" thickBot="1"/>
    <row r="5446" ht="81.75" customHeight="1" thickBot="1"/>
    <row r="5447" ht="81.75" customHeight="1" thickBot="1"/>
    <row r="5448" ht="81.75" customHeight="1" thickBot="1"/>
    <row r="5449" ht="81.75" customHeight="1" thickBot="1"/>
    <row r="5450" ht="81.75" customHeight="1" thickBot="1"/>
    <row r="5451" ht="81.75" customHeight="1" thickBot="1"/>
    <row r="5452" ht="81.75" customHeight="1" thickBot="1"/>
    <row r="5453" ht="81.75" customHeight="1" thickBot="1"/>
    <row r="5454" ht="81.75" customHeight="1" thickBot="1"/>
    <row r="5455" ht="81.75" customHeight="1" thickBot="1"/>
    <row r="5456" ht="81.75" customHeight="1" thickBot="1"/>
    <row r="5457" ht="81.75" customHeight="1" thickBot="1"/>
    <row r="5458" ht="81.75" customHeight="1" thickBot="1"/>
    <row r="5459" ht="81.75" customHeight="1" thickBot="1"/>
    <row r="5460" ht="81.75" customHeight="1" thickBot="1"/>
    <row r="5461" ht="81.75" customHeight="1" thickBot="1"/>
    <row r="5462" ht="81.75" customHeight="1" thickBot="1"/>
    <row r="5463" ht="81.75" customHeight="1" thickBot="1"/>
    <row r="5464" ht="81.75" customHeight="1" thickBot="1"/>
    <row r="5465" ht="81.75" customHeight="1" thickBot="1"/>
    <row r="5466" ht="81.75" customHeight="1" thickBot="1"/>
    <row r="5467" ht="81.75" customHeight="1" thickBot="1"/>
    <row r="5468" ht="81.75" customHeight="1" thickBot="1"/>
    <row r="5469" ht="81.75" customHeight="1" thickBot="1"/>
    <row r="5470" ht="81.75" customHeight="1" thickBot="1"/>
    <row r="5471" ht="81.75" customHeight="1" thickBot="1"/>
    <row r="5472" ht="81.75" customHeight="1" thickBot="1"/>
    <row r="5473" ht="81.75" customHeight="1" thickBot="1"/>
    <row r="5474" ht="81.75" customHeight="1" thickBot="1"/>
    <row r="5475" ht="81.75" customHeight="1" thickBot="1"/>
    <row r="5476" ht="81.75" customHeight="1" thickBot="1"/>
    <row r="5477" ht="81.75" customHeight="1" thickBot="1"/>
    <row r="5478" ht="81.75" customHeight="1" thickBot="1"/>
    <row r="5479" ht="81.75" customHeight="1" thickBot="1"/>
    <row r="5480" ht="81.75" customHeight="1" thickBot="1"/>
    <row r="5481" ht="81.75" customHeight="1" thickBot="1"/>
    <row r="5482" ht="81.75" customHeight="1" thickBot="1"/>
    <row r="5483" ht="81.75" customHeight="1" thickBot="1"/>
    <row r="5484" ht="81.75" customHeight="1" thickBot="1"/>
    <row r="5485" ht="81.75" customHeight="1" thickBot="1"/>
    <row r="5486" ht="81.75" customHeight="1" thickBot="1"/>
    <row r="5487" ht="81.75" customHeight="1" thickBot="1"/>
    <row r="5488" ht="81.75" customHeight="1" thickBot="1"/>
    <row r="5489" ht="81.75" customHeight="1" thickBot="1"/>
    <row r="5490" ht="81.75" customHeight="1" thickBot="1"/>
    <row r="5491" ht="81.75" customHeight="1" thickBot="1"/>
    <row r="5492" ht="81.75" customHeight="1" thickBot="1"/>
    <row r="5493" ht="81.75" customHeight="1" thickBot="1"/>
    <row r="5494" ht="81.75" customHeight="1" thickBot="1"/>
    <row r="5495" ht="81.75" customHeight="1" thickBot="1"/>
    <row r="5496" ht="81.75" customHeight="1" thickBot="1"/>
    <row r="5497" ht="81.75" customHeight="1" thickBot="1"/>
    <row r="5498" ht="81.75" customHeight="1" thickBot="1"/>
    <row r="5499" ht="81.75" customHeight="1" thickBot="1"/>
    <row r="5500" ht="81.75" customHeight="1" thickBot="1"/>
    <row r="5501" ht="81.75" customHeight="1" thickBot="1"/>
    <row r="5502" ht="81.75" customHeight="1" thickBot="1"/>
    <row r="5503" ht="81.75" customHeight="1" thickBot="1"/>
    <row r="5504" ht="81.75" customHeight="1" thickBot="1"/>
    <row r="5505" ht="81.75" customHeight="1" thickBot="1"/>
    <row r="5506" ht="81.75" customHeight="1" thickBot="1"/>
    <row r="5507" ht="81.75" customHeight="1" thickBot="1"/>
    <row r="5508" ht="81.75" customHeight="1" thickBot="1"/>
    <row r="5509" ht="81.75" customHeight="1" thickBot="1"/>
    <row r="5510" ht="81.75" customHeight="1" thickBot="1"/>
    <row r="5511" ht="81.75" customHeight="1" thickBot="1"/>
    <row r="5512" ht="81.75" customHeight="1" thickBot="1"/>
    <row r="5513" ht="81.75" customHeight="1" thickBot="1"/>
    <row r="5514" ht="81.75" customHeight="1" thickBot="1"/>
    <row r="5515" ht="81.75" customHeight="1" thickBot="1"/>
    <row r="5516" ht="81.75" customHeight="1" thickBot="1"/>
    <row r="5517" ht="81.75" customHeight="1" thickBot="1"/>
    <row r="5518" ht="81.75" customHeight="1" thickBot="1"/>
    <row r="5519" ht="81.75" customHeight="1" thickBot="1"/>
    <row r="5520" ht="81.75" customHeight="1" thickBot="1"/>
    <row r="5521" ht="81.75" customHeight="1" thickBot="1"/>
    <row r="5522" ht="81.75" customHeight="1" thickBot="1"/>
    <row r="5523" ht="81.75" customHeight="1" thickBot="1"/>
    <row r="5524" ht="81.75" customHeight="1" thickBot="1"/>
    <row r="5525" ht="81.75" customHeight="1" thickBot="1"/>
    <row r="5526" ht="81.75" customHeight="1" thickBot="1"/>
    <row r="5527" ht="81.75" customHeight="1" thickBot="1"/>
    <row r="5528" ht="81.75" customHeight="1" thickBot="1"/>
    <row r="5529" ht="81.75" customHeight="1" thickBot="1"/>
    <row r="5530" ht="81.75" customHeight="1" thickBot="1"/>
    <row r="5531" ht="81.75" customHeight="1" thickBot="1"/>
    <row r="5532" ht="81.75" customHeight="1" thickBot="1"/>
    <row r="5533" ht="81.75" customHeight="1" thickBot="1"/>
    <row r="5534" ht="81.75" customHeight="1" thickBot="1"/>
    <row r="5535" ht="81.75" customHeight="1" thickBot="1"/>
    <row r="5536" ht="81.75" customHeight="1" thickBot="1"/>
    <row r="5537" ht="81.75" customHeight="1" thickBot="1"/>
    <row r="5538" ht="81.75" customHeight="1" thickBot="1"/>
    <row r="5539" ht="81.75" customHeight="1" thickBot="1"/>
    <row r="5540" ht="81.75" customHeight="1" thickBot="1"/>
    <row r="5541" ht="81.75" customHeight="1" thickBot="1"/>
    <row r="5542" ht="81.75" customHeight="1" thickBot="1"/>
    <row r="5543" ht="81.75" customHeight="1" thickBot="1"/>
    <row r="5544" ht="81.75" customHeight="1" thickBot="1"/>
    <row r="5545" ht="81.75" customHeight="1" thickBot="1"/>
    <row r="5546" ht="81.75" customHeight="1" thickBot="1"/>
    <row r="5547" ht="81.75" customHeight="1" thickBot="1"/>
    <row r="5548" ht="81.75" customHeight="1" thickBot="1"/>
    <row r="5549" ht="81.75" customHeight="1" thickBot="1"/>
    <row r="5550" ht="81.75" customHeight="1" thickBot="1"/>
    <row r="5551" ht="81.75" customHeight="1" thickBot="1"/>
    <row r="5552" ht="81.75" customHeight="1" thickBot="1"/>
    <row r="5553" ht="81.75" customHeight="1" thickBot="1"/>
    <row r="5554" ht="81.75" customHeight="1" thickBot="1"/>
    <row r="5555" ht="81.75" customHeight="1" thickBot="1"/>
    <row r="5556" ht="81.75" customHeight="1" thickBot="1"/>
    <row r="5557" ht="81.75" customHeight="1" thickBot="1"/>
    <row r="5558" ht="81.75" customHeight="1" thickBot="1"/>
    <row r="5559" ht="81.75" customHeight="1" thickBot="1"/>
    <row r="5560" ht="81.75" customHeight="1" thickBot="1"/>
    <row r="5561" ht="81.75" customHeight="1" thickBot="1"/>
    <row r="5562" ht="81.75" customHeight="1" thickBot="1"/>
    <row r="5563" ht="81.75" customHeight="1" thickBot="1"/>
    <row r="5564" ht="81.75" customHeight="1" thickBot="1"/>
    <row r="5565" ht="81.75" customHeight="1" thickBot="1"/>
    <row r="5566" ht="81.75" customHeight="1" thickBot="1"/>
    <row r="5567" ht="81.75" customHeight="1" thickBot="1"/>
    <row r="5568" ht="81.75" customHeight="1" thickBot="1"/>
    <row r="5569" ht="81.75" customHeight="1" thickBot="1"/>
    <row r="5570" ht="81.75" customHeight="1" thickBot="1"/>
    <row r="5571" ht="81.75" customHeight="1" thickBot="1"/>
    <row r="5572" ht="81.75" customHeight="1" thickBot="1"/>
    <row r="5573" ht="81.75" customHeight="1" thickBot="1"/>
    <row r="5574" ht="81.75" customHeight="1" thickBot="1"/>
    <row r="5575" ht="81.75" customHeight="1" thickBot="1"/>
    <row r="5576" ht="81.75" customHeight="1" thickBot="1"/>
    <row r="5577" ht="81.75" customHeight="1" thickBot="1"/>
    <row r="5578" ht="81.75" customHeight="1" thickBot="1"/>
    <row r="5579" ht="81.75" customHeight="1" thickBot="1"/>
    <row r="5580" ht="81.75" customHeight="1" thickBot="1"/>
    <row r="5581" ht="81.75" customHeight="1" thickBot="1"/>
    <row r="5582" ht="81.75" customHeight="1" thickBot="1"/>
    <row r="5583" ht="81.75" customHeight="1" thickBot="1"/>
    <row r="5584" ht="81.75" customHeight="1" thickBot="1"/>
    <row r="5585" ht="81.75" customHeight="1" thickBot="1"/>
    <row r="5586" ht="81.75" customHeight="1" thickBot="1"/>
    <row r="5587" ht="81.75" customHeight="1" thickBot="1"/>
    <row r="5588" ht="81.75" customHeight="1" thickBot="1"/>
    <row r="5589" ht="81.75" customHeight="1" thickBot="1"/>
    <row r="5590" ht="81.75" customHeight="1" thickBot="1"/>
    <row r="5591" ht="81.75" customHeight="1" thickBot="1"/>
    <row r="5592" ht="81.75" customHeight="1" thickBot="1"/>
    <row r="5593" ht="81.75" customHeight="1" thickBot="1"/>
    <row r="5594" ht="81.75" customHeight="1" thickBot="1"/>
    <row r="5595" ht="81.75" customHeight="1" thickBot="1"/>
    <row r="5596" ht="81.75" customHeight="1" thickBot="1"/>
    <row r="5597" ht="81.75" customHeight="1" thickBot="1"/>
    <row r="5598" ht="81.75" customHeight="1" thickBot="1"/>
    <row r="5599" ht="81.75" customHeight="1" thickBot="1"/>
    <row r="5600" ht="81.75" customHeight="1" thickBot="1"/>
    <row r="5601" ht="81.75" customHeight="1" thickBot="1"/>
    <row r="5602" ht="81.75" customHeight="1" thickBot="1"/>
    <row r="5603" ht="81.75" customHeight="1" thickBot="1"/>
    <row r="5604" ht="81.75" customHeight="1" thickBot="1"/>
    <row r="5605" ht="81.75" customHeight="1" thickBot="1"/>
    <row r="5606" ht="81.75" customHeight="1" thickBot="1"/>
    <row r="5607" ht="81.75" customHeight="1" thickBot="1"/>
    <row r="5608" ht="81.75" customHeight="1" thickBot="1"/>
    <row r="5609" ht="81.75" customHeight="1" thickBot="1"/>
    <row r="5610" ht="81.75" customHeight="1" thickBot="1"/>
    <row r="5611" ht="81.75" customHeight="1" thickBot="1"/>
    <row r="5612" ht="81.75" customHeight="1" thickBot="1"/>
    <row r="5613" ht="81.75" customHeight="1" thickBot="1"/>
    <row r="5614" ht="81.75" customHeight="1" thickBot="1"/>
    <row r="5615" ht="81.75" customHeight="1" thickBot="1"/>
    <row r="5616" ht="81.75" customHeight="1" thickBot="1"/>
    <row r="5617" ht="81.75" customHeight="1" thickBot="1"/>
    <row r="5618" ht="81.75" customHeight="1" thickBot="1"/>
    <row r="5619" ht="81.75" customHeight="1" thickBot="1"/>
    <row r="5620" ht="81.75" customHeight="1" thickBot="1"/>
    <row r="5621" ht="81.75" customHeight="1" thickBot="1"/>
    <row r="5622" ht="81.75" customHeight="1" thickBot="1"/>
    <row r="5623" ht="81.75" customHeight="1" thickBot="1"/>
    <row r="5624" ht="81.75" customHeight="1" thickBot="1"/>
    <row r="5625" ht="81.75" customHeight="1" thickBot="1"/>
    <row r="5626" ht="81.75" customHeight="1" thickBot="1"/>
    <row r="5627" ht="81.75" customHeight="1" thickBot="1"/>
    <row r="5628" ht="81.75" customHeight="1" thickBot="1"/>
    <row r="5629" ht="81.75" customHeight="1" thickBot="1"/>
    <row r="5630" ht="81.75" customHeight="1" thickBot="1"/>
    <row r="5631" ht="81.75" customHeight="1" thickBot="1"/>
    <row r="5632" ht="81.75" customHeight="1" thickBot="1"/>
    <row r="5633" ht="81.75" customHeight="1" thickBot="1"/>
    <row r="5634" ht="81.75" customHeight="1" thickBot="1"/>
    <row r="5635" ht="81.75" customHeight="1" thickBot="1"/>
    <row r="5636" ht="81.75" customHeight="1" thickBot="1"/>
    <row r="5637" ht="81.75" customHeight="1" thickBot="1"/>
    <row r="5638" ht="81.75" customHeight="1" thickBot="1"/>
    <row r="5639" ht="81.75" customHeight="1" thickBot="1"/>
    <row r="5640" ht="81.75" customHeight="1" thickBot="1"/>
    <row r="5641" ht="81.75" customHeight="1" thickBot="1"/>
    <row r="5642" ht="81.75" customHeight="1" thickBot="1"/>
    <row r="5643" ht="81.75" customHeight="1" thickBot="1"/>
    <row r="5644" ht="81.75" customHeight="1" thickBot="1"/>
    <row r="5645" ht="81.75" customHeight="1" thickBot="1"/>
    <row r="5646" ht="81.75" customHeight="1" thickBot="1"/>
    <row r="5647" ht="81.75" customHeight="1" thickBot="1"/>
    <row r="5648" ht="81.75" customHeight="1" thickBot="1"/>
    <row r="5649" ht="81.75" customHeight="1" thickBot="1"/>
    <row r="5650" ht="81.75" customHeight="1" thickBot="1"/>
    <row r="5651" ht="81.75" customHeight="1" thickBot="1"/>
    <row r="5652" ht="81.75" customHeight="1" thickBot="1"/>
    <row r="5653" ht="81.75" customHeight="1" thickBot="1"/>
    <row r="5654" ht="81.75" customHeight="1" thickBot="1"/>
    <row r="5655" ht="81.75" customHeight="1" thickBot="1"/>
    <row r="5656" ht="81.75" customHeight="1" thickBot="1"/>
    <row r="5657" ht="81.75" customHeight="1" thickBot="1"/>
    <row r="5658" ht="81.75" customHeight="1" thickBot="1"/>
    <row r="5659" ht="81.75" customHeight="1" thickBot="1"/>
    <row r="5660" ht="81.75" customHeight="1" thickBot="1"/>
    <row r="5661" ht="81.75" customHeight="1" thickBot="1"/>
    <row r="5662" ht="81.75" customHeight="1" thickBot="1"/>
    <row r="5663" ht="81.75" customHeight="1" thickBot="1"/>
    <row r="5664" ht="81.75" customHeight="1" thickBot="1"/>
    <row r="5665" ht="81.75" customHeight="1" thickBot="1"/>
    <row r="5666" ht="81.75" customHeight="1" thickBot="1"/>
    <row r="5667" ht="81.75" customHeight="1" thickBot="1"/>
    <row r="5668" ht="81.75" customHeight="1" thickBot="1"/>
    <row r="5669" ht="81.75" customHeight="1" thickBot="1"/>
    <row r="5670" ht="81.75" customHeight="1" thickBot="1"/>
    <row r="5671" ht="81.75" customHeight="1" thickBot="1"/>
    <row r="5672" ht="81.75" customHeight="1" thickBot="1"/>
    <row r="5673" ht="81.75" customHeight="1" thickBot="1"/>
    <row r="5674" ht="81.75" customHeight="1" thickBot="1"/>
    <row r="5675" ht="81.75" customHeight="1" thickBot="1"/>
    <row r="5676" ht="81.75" customHeight="1" thickBot="1"/>
    <row r="5677" ht="81.75" customHeight="1" thickBot="1"/>
    <row r="5678" ht="81.75" customHeight="1" thickBot="1"/>
    <row r="5679" ht="81.75" customHeight="1" thickBot="1"/>
    <row r="5680" ht="81.75" customHeight="1" thickBot="1"/>
    <row r="5681" ht="81.75" customHeight="1" thickBot="1"/>
    <row r="5682" ht="81.75" customHeight="1" thickBot="1"/>
    <row r="5683" ht="81.75" customHeight="1" thickBot="1"/>
    <row r="5684" ht="81.75" customHeight="1" thickBot="1"/>
    <row r="5685" ht="81.75" customHeight="1" thickBot="1"/>
    <row r="5686" ht="81.75" customHeight="1" thickBot="1"/>
    <row r="5687" ht="81.75" customHeight="1" thickBot="1"/>
    <row r="5688" ht="81.75" customHeight="1" thickBot="1"/>
    <row r="5689" ht="81.75" customHeight="1" thickBot="1"/>
    <row r="5690" ht="81.75" customHeight="1" thickBot="1"/>
    <row r="5691" ht="81.75" customHeight="1" thickBot="1"/>
    <row r="5692" ht="81.75" customHeight="1" thickBot="1"/>
    <row r="5693" ht="81.75" customHeight="1" thickBot="1"/>
    <row r="5694" ht="81.75" customHeight="1" thickBot="1"/>
    <row r="5695" ht="81.75" customHeight="1" thickBot="1"/>
    <row r="5696" ht="81.75" customHeight="1" thickBot="1"/>
    <row r="5697" ht="81.75" customHeight="1" thickBot="1"/>
    <row r="5698" ht="81.75" customHeight="1" thickBot="1"/>
    <row r="5699" ht="81.75" customHeight="1" thickBot="1"/>
    <row r="5700" ht="81.75" customHeight="1" thickBot="1"/>
    <row r="5701" ht="81.75" customHeight="1" thickBot="1"/>
    <row r="5702" ht="81.75" customHeight="1" thickBot="1"/>
    <row r="5703" ht="81.75" customHeight="1" thickBot="1"/>
    <row r="5704" ht="81.75" customHeight="1" thickBot="1"/>
    <row r="5705" ht="81.75" customHeight="1" thickBot="1"/>
    <row r="5706" ht="81.75" customHeight="1" thickBot="1"/>
    <row r="5707" ht="81.75" customHeight="1" thickBot="1"/>
    <row r="5708" ht="81.75" customHeight="1" thickBot="1"/>
    <row r="5709" ht="81.75" customHeight="1" thickBot="1"/>
    <row r="5710" ht="81.75" customHeight="1" thickBot="1"/>
    <row r="5711" ht="81.75" customHeight="1" thickBot="1"/>
    <row r="5712" ht="81.75" customHeight="1" thickBot="1"/>
    <row r="5713" ht="81.75" customHeight="1" thickBot="1"/>
    <row r="5714" ht="81.75" customHeight="1" thickBot="1"/>
    <row r="5715" ht="81.75" customHeight="1" thickBot="1"/>
    <row r="5716" ht="81.75" customHeight="1" thickBot="1"/>
    <row r="5717" ht="81.75" customHeight="1" thickBot="1"/>
    <row r="5718" ht="81.75" customHeight="1" thickBot="1"/>
    <row r="5719" ht="81.75" customHeight="1" thickBot="1"/>
    <row r="5720" ht="81.75" customHeight="1" thickBot="1"/>
    <row r="5721" ht="81.75" customHeight="1" thickBot="1"/>
    <row r="5722" ht="81.75" customHeight="1" thickBot="1"/>
    <row r="5723" ht="81.75" customHeight="1" thickBot="1"/>
    <row r="5724" ht="81.75" customHeight="1" thickBot="1"/>
    <row r="5725" ht="81.75" customHeight="1" thickBot="1"/>
    <row r="5726" ht="81.75" customHeight="1" thickBot="1"/>
    <row r="5727" ht="81.75" customHeight="1" thickBot="1"/>
    <row r="5728" ht="81.75" customHeight="1" thickBot="1"/>
    <row r="5729" ht="81.75" customHeight="1" thickBot="1"/>
    <row r="5730" ht="81.75" customHeight="1" thickBot="1"/>
    <row r="5731" ht="81.75" customHeight="1" thickBot="1"/>
    <row r="5732" ht="81.75" customHeight="1" thickBot="1"/>
    <row r="5733" ht="81.75" customHeight="1" thickBot="1"/>
    <row r="5734" ht="81.75" customHeight="1" thickBot="1"/>
    <row r="5735" ht="81.75" customHeight="1" thickBot="1"/>
    <row r="5736" ht="81.75" customHeight="1" thickBot="1"/>
    <row r="5737" ht="81.75" customHeight="1" thickBot="1"/>
    <row r="5738" ht="81.75" customHeight="1" thickBot="1"/>
    <row r="5739" ht="81.75" customHeight="1" thickBot="1"/>
    <row r="5740" ht="81.75" customHeight="1" thickBot="1"/>
    <row r="5741" ht="81.75" customHeight="1" thickBot="1"/>
    <row r="5742" ht="81.75" customHeight="1" thickBot="1"/>
    <row r="5743" ht="81.75" customHeight="1" thickBot="1"/>
    <row r="5744" ht="81.75" customHeight="1" thickBot="1"/>
    <row r="5745" ht="81.75" customHeight="1" thickBot="1"/>
    <row r="5746" ht="81.75" customHeight="1" thickBot="1"/>
    <row r="5747" ht="81.75" customHeight="1" thickBot="1"/>
    <row r="5748" ht="81.75" customHeight="1" thickBot="1"/>
    <row r="5749" ht="81.75" customHeight="1" thickBot="1"/>
    <row r="5750" ht="81.75" customHeight="1" thickBot="1"/>
    <row r="5751" ht="81.75" customHeight="1" thickBot="1"/>
    <row r="5752" ht="81.75" customHeight="1" thickBot="1"/>
    <row r="5753" ht="81.75" customHeight="1" thickBot="1"/>
    <row r="5754" ht="81.75" customHeight="1" thickBot="1"/>
    <row r="5755" ht="81.75" customHeight="1" thickBot="1"/>
    <row r="5756" ht="81.75" customHeight="1" thickBot="1"/>
    <row r="5757" ht="81.75" customHeight="1" thickBot="1"/>
    <row r="5758" ht="81.75" customHeight="1" thickBot="1"/>
    <row r="5759" ht="81.75" customHeight="1" thickBot="1"/>
    <row r="5760" ht="81.75" customHeight="1" thickBot="1"/>
    <row r="5761" ht="81.75" customHeight="1" thickBot="1"/>
    <row r="5762" ht="81.75" customHeight="1" thickBot="1"/>
    <row r="5763" ht="81.75" customHeight="1" thickBot="1"/>
    <row r="5764" ht="81.75" customHeight="1" thickBot="1"/>
    <row r="5765" ht="81.75" customHeight="1" thickBot="1"/>
    <row r="5766" ht="81.75" customHeight="1" thickBot="1"/>
    <row r="5767" ht="81.75" customHeight="1" thickBot="1"/>
    <row r="5768" ht="81.75" customHeight="1" thickBot="1"/>
    <row r="5769" ht="81.75" customHeight="1" thickBot="1"/>
    <row r="5770" ht="81.75" customHeight="1" thickBot="1"/>
    <row r="5771" ht="81.75" customHeight="1" thickBot="1"/>
    <row r="5772" ht="81.75" customHeight="1" thickBot="1"/>
    <row r="5773" ht="81.75" customHeight="1" thickBot="1"/>
    <row r="5774" ht="81.75" customHeight="1" thickBot="1"/>
    <row r="5775" ht="81.75" customHeight="1" thickBot="1"/>
    <row r="5776" ht="81.75" customHeight="1" thickBot="1"/>
    <row r="5777" ht="81.75" customHeight="1" thickBot="1"/>
    <row r="5778" ht="81.75" customHeight="1" thickBot="1"/>
    <row r="5779" ht="81.75" customHeight="1" thickBot="1"/>
    <row r="5780" ht="81.75" customHeight="1" thickBot="1"/>
    <row r="5781" ht="81.75" customHeight="1" thickBot="1"/>
    <row r="5782" ht="81.75" customHeight="1" thickBot="1"/>
    <row r="5783" ht="81.75" customHeight="1" thickBot="1"/>
    <row r="5784" ht="81.75" customHeight="1" thickBot="1"/>
    <row r="5785" ht="81.75" customHeight="1" thickBot="1"/>
    <row r="5786" ht="81.75" customHeight="1" thickBot="1"/>
    <row r="5787" ht="81.75" customHeight="1" thickBot="1"/>
    <row r="5788" ht="81.75" customHeight="1" thickBot="1"/>
    <row r="5789" ht="81.75" customHeight="1" thickBot="1"/>
    <row r="5790" ht="81.75" customHeight="1" thickBot="1"/>
    <row r="5791" ht="81.75" customHeight="1" thickBot="1"/>
    <row r="5792" ht="81.75" customHeight="1" thickBot="1"/>
    <row r="5793" ht="81.75" customHeight="1" thickBot="1"/>
    <row r="5794" ht="81.75" customHeight="1" thickBot="1"/>
    <row r="5795" ht="81.75" customHeight="1" thickBot="1"/>
    <row r="5796" ht="81.75" customHeight="1" thickBot="1"/>
    <row r="5797" ht="81.75" customHeight="1" thickBot="1"/>
    <row r="5798" ht="81.75" customHeight="1" thickBot="1"/>
    <row r="5799" ht="81.75" customHeight="1" thickBot="1"/>
    <row r="5800" ht="81.75" customHeight="1" thickBot="1"/>
    <row r="5801" ht="81.75" customHeight="1" thickBot="1"/>
    <row r="5802" ht="81.75" customHeight="1" thickBot="1"/>
    <row r="5803" ht="81.75" customHeight="1" thickBot="1"/>
    <row r="5804" ht="81.75" customHeight="1" thickBot="1"/>
    <row r="5805" ht="81.75" customHeight="1" thickBot="1"/>
    <row r="5806" ht="81.75" customHeight="1" thickBot="1"/>
    <row r="5807" ht="81.75" customHeight="1" thickBot="1"/>
    <row r="5808" ht="81.75" customHeight="1" thickBot="1"/>
    <row r="5809" ht="81.75" customHeight="1" thickBot="1"/>
    <row r="5810" ht="81.75" customHeight="1" thickBot="1"/>
    <row r="5811" ht="81.75" customHeight="1" thickBot="1"/>
    <row r="5812" ht="81.75" customHeight="1" thickBot="1"/>
    <row r="5813" ht="81.75" customHeight="1" thickBot="1"/>
    <row r="5814" ht="81.75" customHeight="1" thickBot="1"/>
    <row r="5815" ht="81.75" customHeight="1" thickBot="1"/>
    <row r="5816" ht="81.75" customHeight="1" thickBot="1"/>
    <row r="5817" ht="81.75" customHeight="1" thickBot="1"/>
    <row r="5818" ht="81.75" customHeight="1" thickBot="1"/>
    <row r="5819" ht="81.75" customHeight="1" thickBot="1"/>
    <row r="5820" ht="81.75" customHeight="1" thickBot="1"/>
    <row r="5821" ht="81.75" customHeight="1" thickBot="1"/>
    <row r="5822" ht="81.75" customHeight="1" thickBot="1"/>
    <row r="5823" ht="81.75" customHeight="1" thickBot="1"/>
    <row r="5824" ht="81.75" customHeight="1" thickBot="1"/>
    <row r="5825" ht="81.75" customHeight="1" thickBot="1"/>
    <row r="5826" ht="81.75" customHeight="1" thickBot="1"/>
    <row r="5827" ht="81.75" customHeight="1" thickBot="1"/>
    <row r="5828" ht="81.75" customHeight="1" thickBot="1"/>
    <row r="5829" ht="81.75" customHeight="1" thickBot="1"/>
    <row r="5830" ht="81.75" customHeight="1" thickBot="1"/>
    <row r="5831" ht="81.75" customHeight="1" thickBot="1"/>
    <row r="5832" ht="81.75" customHeight="1" thickBot="1"/>
    <row r="5833" ht="81.75" customHeight="1" thickBot="1"/>
    <row r="5834" ht="81.75" customHeight="1" thickBot="1"/>
    <row r="5835" ht="81.75" customHeight="1" thickBot="1"/>
    <row r="5836" ht="81.75" customHeight="1" thickBot="1"/>
    <row r="5837" ht="81.75" customHeight="1" thickBot="1"/>
    <row r="5838" ht="81.75" customHeight="1" thickBot="1"/>
    <row r="5839" ht="81.75" customHeight="1" thickBot="1"/>
    <row r="5840" ht="81.75" customHeight="1" thickBot="1"/>
    <row r="5841" ht="81.75" customHeight="1" thickBot="1"/>
    <row r="5842" ht="81.75" customHeight="1" thickBot="1"/>
    <row r="5843" ht="81.75" customHeight="1" thickBot="1"/>
    <row r="5844" ht="81.75" customHeight="1" thickBot="1"/>
    <row r="5845" ht="81.75" customHeight="1" thickBot="1"/>
    <row r="5846" ht="81.75" customHeight="1" thickBot="1"/>
    <row r="5847" ht="81.75" customHeight="1" thickBot="1"/>
    <row r="5848" ht="81.75" customHeight="1" thickBot="1"/>
    <row r="5849" ht="81.75" customHeight="1" thickBot="1"/>
    <row r="5850" ht="81.75" customHeight="1" thickBot="1"/>
    <row r="5851" ht="81.75" customHeight="1" thickBot="1"/>
    <row r="5852" ht="81.75" customHeight="1" thickBot="1"/>
    <row r="5853" ht="81.75" customHeight="1" thickBot="1"/>
    <row r="5854" ht="81.75" customHeight="1" thickBot="1"/>
    <row r="5855" ht="81.75" customHeight="1" thickBot="1"/>
    <row r="5856" ht="81.75" customHeight="1" thickBot="1"/>
    <row r="5857" ht="81.75" customHeight="1" thickBot="1"/>
    <row r="5858" ht="81.75" customHeight="1" thickBot="1"/>
    <row r="5859" ht="81.75" customHeight="1" thickBot="1"/>
    <row r="5860" ht="81.75" customHeight="1" thickBot="1"/>
    <row r="5861" ht="81.75" customHeight="1" thickBot="1"/>
    <row r="5862" ht="81.75" customHeight="1" thickBot="1"/>
    <row r="5863" ht="81.75" customHeight="1" thickBot="1"/>
    <row r="5864" ht="81.75" customHeight="1" thickBot="1"/>
    <row r="5865" ht="81.75" customHeight="1" thickBot="1"/>
    <row r="5866" ht="81.75" customHeight="1" thickBot="1"/>
    <row r="5867" ht="81.75" customHeight="1" thickBot="1"/>
    <row r="5868" ht="81.75" customHeight="1" thickBot="1"/>
    <row r="5869" ht="81.75" customHeight="1" thickBot="1"/>
    <row r="5870" ht="81.75" customHeight="1" thickBot="1"/>
    <row r="5871" ht="81.75" customHeight="1" thickBot="1"/>
    <row r="5872" ht="81.75" customHeight="1" thickBot="1"/>
    <row r="5873" ht="81.75" customHeight="1" thickBot="1"/>
    <row r="5874" ht="81.75" customHeight="1" thickBot="1"/>
    <row r="5875" ht="81.75" customHeight="1" thickBot="1"/>
    <row r="5876" ht="81.75" customHeight="1" thickBot="1"/>
    <row r="5877" ht="81.75" customHeight="1" thickBot="1"/>
    <row r="5878" ht="81.75" customHeight="1" thickBot="1"/>
    <row r="5879" ht="81.75" customHeight="1" thickBot="1"/>
    <row r="5880" ht="81.75" customHeight="1" thickBot="1"/>
    <row r="5881" ht="81.75" customHeight="1" thickBot="1"/>
    <row r="5882" ht="81.75" customHeight="1" thickBot="1"/>
    <row r="5883" ht="81.75" customHeight="1" thickBot="1"/>
    <row r="5884" ht="81.75" customHeight="1" thickBot="1"/>
    <row r="5885" ht="81.75" customHeight="1" thickBot="1"/>
    <row r="5886" ht="81.75" customHeight="1" thickBot="1"/>
    <row r="5887" ht="81.75" customHeight="1" thickBot="1"/>
    <row r="5888" ht="81.75" customHeight="1" thickBot="1"/>
    <row r="5889" ht="81.75" customHeight="1" thickBot="1"/>
    <row r="5890" ht="81.75" customHeight="1" thickBot="1"/>
    <row r="5891" ht="81.75" customHeight="1" thickBot="1"/>
    <row r="5892" ht="81.75" customHeight="1" thickBot="1"/>
    <row r="5893" ht="81.75" customHeight="1" thickBot="1"/>
    <row r="5894" ht="81.75" customHeight="1" thickBot="1"/>
    <row r="5895" ht="81.75" customHeight="1" thickBot="1"/>
    <row r="5896" ht="81.75" customHeight="1" thickBot="1"/>
    <row r="5897" ht="81.75" customHeight="1" thickBot="1"/>
    <row r="5898" ht="81.75" customHeight="1" thickBot="1"/>
    <row r="5899" ht="81.75" customHeight="1" thickBot="1"/>
    <row r="5900" ht="81.75" customHeight="1" thickBot="1"/>
    <row r="5901" ht="81.75" customHeight="1" thickBot="1"/>
    <row r="5902" ht="81.75" customHeight="1" thickBot="1"/>
    <row r="5903" ht="81.75" customHeight="1" thickBot="1"/>
    <row r="5904" ht="81.75" customHeight="1" thickBot="1"/>
    <row r="5905" ht="81.75" customHeight="1" thickBot="1"/>
    <row r="5906" ht="81.75" customHeight="1" thickBot="1"/>
    <row r="5907" ht="81.75" customHeight="1" thickBot="1"/>
    <row r="5908" ht="81.75" customHeight="1" thickBot="1"/>
    <row r="5909" ht="81.75" customHeight="1" thickBot="1"/>
    <row r="5910" ht="81.75" customHeight="1" thickBot="1"/>
    <row r="5911" ht="81.75" customHeight="1" thickBot="1"/>
    <row r="5912" ht="81.75" customHeight="1" thickBot="1"/>
    <row r="5913" ht="81.75" customHeight="1" thickBot="1"/>
    <row r="5914" ht="81.75" customHeight="1" thickBot="1"/>
    <row r="5915" ht="81.75" customHeight="1" thickBot="1"/>
    <row r="5916" ht="81.75" customHeight="1" thickBot="1"/>
    <row r="5917" ht="81.75" customHeight="1" thickBot="1"/>
    <row r="5918" ht="81.75" customHeight="1" thickBot="1"/>
    <row r="5919" ht="81.75" customHeight="1" thickBot="1"/>
    <row r="5920" ht="81.75" customHeight="1" thickBot="1"/>
    <row r="5921" ht="81.75" customHeight="1" thickBot="1"/>
    <row r="5922" ht="81.75" customHeight="1" thickBot="1"/>
    <row r="5923" ht="81.75" customHeight="1" thickBot="1"/>
    <row r="5924" ht="81.75" customHeight="1" thickBot="1"/>
    <row r="5925" ht="81.75" customHeight="1" thickBot="1"/>
    <row r="5926" ht="81.75" customHeight="1" thickBot="1"/>
    <row r="5927" ht="81.75" customHeight="1" thickBot="1"/>
    <row r="5928" ht="81.75" customHeight="1" thickBot="1"/>
    <row r="5929" ht="81.75" customHeight="1" thickBot="1"/>
    <row r="5930" ht="81.75" customHeight="1" thickBot="1"/>
    <row r="5931" ht="81.75" customHeight="1" thickBot="1"/>
    <row r="5932" ht="81.75" customHeight="1" thickBot="1"/>
    <row r="5933" ht="81.75" customHeight="1" thickBot="1"/>
    <row r="5934" ht="81.75" customHeight="1" thickBot="1"/>
    <row r="5935" ht="81.75" customHeight="1" thickBot="1"/>
    <row r="5936" ht="81.75" customHeight="1" thickBot="1"/>
    <row r="5937" ht="81.75" customHeight="1" thickBot="1"/>
    <row r="5938" ht="81.75" customHeight="1" thickBot="1"/>
    <row r="5939" ht="81.75" customHeight="1" thickBot="1"/>
    <row r="5940" ht="81.75" customHeight="1" thickBot="1"/>
    <row r="5941" ht="81.75" customHeight="1" thickBot="1"/>
    <row r="5942" ht="81.75" customHeight="1" thickBot="1"/>
    <row r="5943" ht="81.75" customHeight="1" thickBot="1"/>
    <row r="5944" ht="81.75" customHeight="1" thickBot="1"/>
    <row r="5945" ht="81.75" customHeight="1" thickBot="1"/>
    <row r="5946" ht="81.75" customHeight="1" thickBot="1"/>
    <row r="5947" ht="81.75" customHeight="1" thickBot="1"/>
    <row r="5948" ht="81.75" customHeight="1" thickBot="1"/>
    <row r="5949" ht="81.75" customHeight="1" thickBot="1"/>
    <row r="5950" ht="81.75" customHeight="1" thickBot="1"/>
    <row r="5951" ht="81.75" customHeight="1" thickBot="1"/>
    <row r="5952" ht="81.75" customHeight="1" thickBot="1"/>
    <row r="5953" ht="81.75" customHeight="1" thickBot="1"/>
    <row r="5954" ht="81.75" customHeight="1" thickBot="1"/>
    <row r="5955" ht="81.75" customHeight="1" thickBot="1"/>
    <row r="5956" ht="81.75" customHeight="1" thickBot="1"/>
    <row r="5957" ht="81.75" customHeight="1" thickBot="1"/>
    <row r="5958" ht="81.75" customHeight="1" thickBot="1"/>
    <row r="5959" ht="81.75" customHeight="1" thickBot="1"/>
    <row r="5960" ht="81.75" customHeight="1" thickBot="1"/>
    <row r="5961" ht="81.75" customHeight="1" thickBot="1"/>
    <row r="5962" ht="81.75" customHeight="1" thickBot="1"/>
    <row r="5963" ht="81.75" customHeight="1" thickBot="1"/>
    <row r="5964" ht="81.75" customHeight="1" thickBot="1"/>
    <row r="5965" ht="81.75" customHeight="1" thickBot="1"/>
    <row r="5966" ht="81.75" customHeight="1" thickBot="1"/>
    <row r="5967" ht="81.75" customHeight="1" thickBot="1"/>
    <row r="5968" ht="81.75" customHeight="1" thickBot="1"/>
    <row r="5969" ht="81.75" customHeight="1" thickBot="1"/>
    <row r="5970" ht="81.75" customHeight="1" thickBot="1"/>
    <row r="5971" ht="81.75" customHeight="1" thickBot="1"/>
    <row r="5972" ht="81.75" customHeight="1" thickBot="1"/>
    <row r="5973" ht="81.75" customHeight="1" thickBot="1"/>
    <row r="5974" ht="81.75" customHeight="1" thickBot="1"/>
    <row r="5975" ht="81.75" customHeight="1" thickBot="1"/>
    <row r="5976" ht="81.75" customHeight="1" thickBot="1"/>
    <row r="5977" ht="81.75" customHeight="1" thickBot="1"/>
    <row r="5978" ht="81.75" customHeight="1" thickBot="1"/>
    <row r="5979" ht="81.75" customHeight="1" thickBot="1"/>
    <row r="5980" ht="81.75" customHeight="1" thickBot="1"/>
    <row r="5981" ht="81.75" customHeight="1" thickBot="1"/>
    <row r="5982" ht="81.75" customHeight="1" thickBot="1"/>
    <row r="5983" ht="81.75" customHeight="1" thickBot="1"/>
    <row r="5984" ht="81.75" customHeight="1" thickBot="1"/>
    <row r="5985" ht="81.75" customHeight="1" thickBot="1"/>
    <row r="5986" ht="81.75" customHeight="1" thickBot="1"/>
    <row r="5987" ht="81.75" customHeight="1" thickBot="1"/>
    <row r="5988" ht="81.75" customHeight="1" thickBot="1"/>
    <row r="5989" ht="81.75" customHeight="1" thickBot="1"/>
    <row r="5990" ht="81.75" customHeight="1" thickBot="1"/>
    <row r="5991" ht="81.75" customHeight="1" thickBot="1"/>
    <row r="5992" ht="81.75" customHeight="1" thickBot="1"/>
    <row r="5993" ht="81.75" customHeight="1" thickBot="1"/>
    <row r="5994" ht="81.75" customHeight="1" thickBot="1"/>
    <row r="5995" ht="81.75" customHeight="1" thickBot="1"/>
    <row r="5996" ht="81.75" customHeight="1" thickBot="1"/>
    <row r="5997" ht="81.75" customHeight="1" thickBot="1"/>
    <row r="5998" ht="81.75" customHeight="1" thickBot="1"/>
    <row r="5999" ht="81.75" customHeight="1" thickBot="1"/>
    <row r="6000" ht="81.75" customHeight="1" thickBot="1"/>
    <row r="6001" ht="81.75" customHeight="1" thickBot="1"/>
    <row r="6002" ht="81.75" customHeight="1" thickBot="1"/>
    <row r="6003" ht="81.75" customHeight="1" thickBot="1"/>
    <row r="6004" ht="81.75" customHeight="1" thickBot="1"/>
    <row r="6005" ht="81.75" customHeight="1" thickBot="1"/>
    <row r="6006" ht="81.75" customHeight="1" thickBot="1"/>
    <row r="6007" ht="81.75" customHeight="1" thickBot="1"/>
    <row r="6008" ht="81.75" customHeight="1" thickBot="1"/>
    <row r="6009" ht="81.75" customHeight="1" thickBot="1"/>
    <row r="6010" ht="81.75" customHeight="1" thickBot="1"/>
    <row r="6011" ht="81.75" customHeight="1" thickBot="1"/>
    <row r="6012" ht="81.75" customHeight="1" thickBot="1"/>
    <row r="6013" ht="81.75" customHeight="1" thickBot="1"/>
    <row r="6014" ht="81.75" customHeight="1" thickBot="1"/>
    <row r="6015" ht="81.75" customHeight="1" thickBot="1"/>
    <row r="6016" ht="81.75" customHeight="1" thickBot="1"/>
    <row r="6017" ht="81.75" customHeight="1" thickBot="1"/>
    <row r="6018" ht="81.75" customHeight="1" thickBot="1"/>
    <row r="6019" ht="81.75" customHeight="1" thickBot="1"/>
    <row r="6020" ht="81.75" customHeight="1" thickBot="1"/>
    <row r="6021" ht="81.75" customHeight="1" thickBot="1"/>
    <row r="6022" ht="81.75" customHeight="1" thickBot="1"/>
    <row r="6023" ht="81.75" customHeight="1" thickBot="1"/>
    <row r="6024" ht="81.75" customHeight="1" thickBot="1"/>
    <row r="6025" ht="81.75" customHeight="1" thickBot="1"/>
    <row r="6026" ht="81.75" customHeight="1" thickBot="1"/>
    <row r="6027" ht="81.75" customHeight="1" thickBot="1"/>
    <row r="6028" ht="81.75" customHeight="1" thickBot="1"/>
    <row r="6029" ht="81.75" customHeight="1" thickBot="1"/>
    <row r="6030" ht="81.75" customHeight="1" thickBot="1"/>
    <row r="6031" ht="81.75" customHeight="1" thickBot="1"/>
    <row r="6032" ht="81.75" customHeight="1" thickBot="1"/>
    <row r="6033" ht="81.75" customHeight="1" thickBot="1"/>
    <row r="6034" ht="81.75" customHeight="1" thickBot="1"/>
    <row r="6035" ht="81.75" customHeight="1" thickBot="1"/>
    <row r="6036" ht="81.75" customHeight="1" thickBot="1"/>
    <row r="6037" ht="81.75" customHeight="1" thickBot="1"/>
    <row r="6038" ht="81.75" customHeight="1" thickBot="1"/>
    <row r="6039" ht="81.75" customHeight="1" thickBot="1"/>
    <row r="6040" ht="81.75" customHeight="1" thickBot="1"/>
    <row r="6041" ht="81.75" customHeight="1" thickBot="1"/>
    <row r="6042" ht="81.75" customHeight="1" thickBot="1"/>
    <row r="6043" ht="81.75" customHeight="1" thickBot="1"/>
    <row r="6044" ht="81.75" customHeight="1" thickBot="1"/>
    <row r="6045" ht="81.75" customHeight="1" thickBot="1"/>
    <row r="6046" ht="81.75" customHeight="1" thickBot="1"/>
    <row r="6047" ht="81.75" customHeight="1" thickBot="1"/>
    <row r="6048" ht="81.75" customHeight="1" thickBot="1"/>
    <row r="6049" ht="81.75" customHeight="1" thickBot="1"/>
    <row r="6050" ht="81.75" customHeight="1" thickBot="1"/>
    <row r="6051" ht="81.75" customHeight="1" thickBot="1"/>
    <row r="6052" ht="81.75" customHeight="1" thickBot="1"/>
    <row r="6053" ht="81.75" customHeight="1" thickBot="1"/>
    <row r="6054" ht="81.75" customHeight="1" thickBot="1"/>
    <row r="6055" ht="81.75" customHeight="1" thickBot="1"/>
    <row r="6056" ht="81.75" customHeight="1" thickBot="1"/>
    <row r="6057" ht="81.75" customHeight="1" thickBot="1"/>
    <row r="6058" ht="81.75" customHeight="1" thickBot="1"/>
    <row r="6059" ht="81.75" customHeight="1" thickBot="1"/>
    <row r="6060" ht="81.75" customHeight="1" thickBot="1"/>
    <row r="6061" ht="81.75" customHeight="1" thickBot="1"/>
    <row r="6062" ht="81.75" customHeight="1" thickBot="1"/>
    <row r="6063" ht="81.75" customHeight="1" thickBot="1"/>
    <row r="6064" ht="81.75" customHeight="1" thickBot="1"/>
    <row r="6065" ht="81.75" customHeight="1" thickBot="1"/>
    <row r="6066" ht="81.75" customHeight="1" thickBot="1"/>
    <row r="6067" ht="81.75" customHeight="1" thickBot="1"/>
    <row r="6068" ht="81.75" customHeight="1" thickBot="1"/>
    <row r="6069" ht="81.75" customHeight="1" thickBot="1"/>
    <row r="6070" ht="81.75" customHeight="1" thickBot="1"/>
    <row r="6071" ht="81.75" customHeight="1" thickBot="1"/>
    <row r="6072" ht="81.75" customHeight="1" thickBot="1"/>
    <row r="6073" ht="81.75" customHeight="1" thickBot="1"/>
    <row r="6074" ht="81.75" customHeight="1" thickBot="1"/>
    <row r="6075" ht="81.75" customHeight="1" thickBot="1"/>
    <row r="6076" ht="81.75" customHeight="1" thickBot="1"/>
    <row r="6077" ht="81.75" customHeight="1" thickBot="1"/>
    <row r="6078" ht="81.75" customHeight="1" thickBot="1"/>
    <row r="6079" ht="81.75" customHeight="1" thickBot="1"/>
    <row r="6080" ht="81.75" customHeight="1" thickBot="1"/>
    <row r="6081" ht="81.75" customHeight="1" thickBot="1"/>
    <row r="6082" ht="81.75" customHeight="1" thickBot="1"/>
    <row r="6083" ht="81.75" customHeight="1" thickBot="1"/>
    <row r="6084" ht="81.75" customHeight="1" thickBot="1"/>
    <row r="6085" ht="81.75" customHeight="1" thickBot="1"/>
    <row r="6086" ht="81.75" customHeight="1" thickBot="1"/>
    <row r="6087" ht="81.75" customHeight="1" thickBot="1"/>
    <row r="6088" ht="81.75" customHeight="1" thickBot="1"/>
    <row r="6089" ht="81.75" customHeight="1" thickBot="1"/>
    <row r="6090" ht="81.75" customHeight="1" thickBot="1"/>
    <row r="6091" ht="81.75" customHeight="1" thickBot="1"/>
    <row r="6092" ht="81.75" customHeight="1" thickBot="1"/>
    <row r="6093" ht="81.75" customHeight="1" thickBot="1"/>
    <row r="6094" ht="81.75" customHeight="1" thickBot="1"/>
    <row r="6095" ht="81.75" customHeight="1" thickBot="1"/>
    <row r="6096" ht="81.75" customHeight="1" thickBot="1"/>
    <row r="6097" ht="81.75" customHeight="1" thickBot="1"/>
    <row r="6098" ht="81.75" customHeight="1" thickBot="1"/>
    <row r="6099" ht="81.75" customHeight="1" thickBot="1"/>
    <row r="6100" ht="81.75" customHeight="1" thickBot="1"/>
    <row r="6101" ht="81.75" customHeight="1" thickBot="1"/>
    <row r="6102" ht="81.75" customHeight="1" thickBot="1"/>
    <row r="6103" ht="81.75" customHeight="1" thickBot="1"/>
    <row r="6104" ht="81.75" customHeight="1" thickBot="1"/>
    <row r="6105" ht="81.75" customHeight="1" thickBot="1"/>
    <row r="6106" ht="81.75" customHeight="1" thickBot="1"/>
    <row r="6107" ht="81.75" customHeight="1" thickBot="1"/>
    <row r="6108" ht="81.75" customHeight="1" thickBot="1"/>
    <row r="6109" ht="81.75" customHeight="1" thickBot="1"/>
    <row r="6110" ht="81.75" customHeight="1" thickBot="1"/>
    <row r="6111" ht="81.75" customHeight="1" thickBot="1"/>
    <row r="6112" ht="81.75" customHeight="1" thickBot="1"/>
    <row r="6113" ht="81.75" customHeight="1" thickBot="1"/>
    <row r="6114" ht="81.75" customHeight="1" thickBot="1"/>
    <row r="6115" ht="81.75" customHeight="1" thickBot="1"/>
    <row r="6116" ht="81.75" customHeight="1" thickBot="1"/>
    <row r="6117" ht="81.75" customHeight="1" thickBot="1"/>
    <row r="6118" ht="81.75" customHeight="1" thickBot="1"/>
    <row r="6119" ht="81.75" customHeight="1" thickBot="1"/>
    <row r="6120" ht="81.75" customHeight="1" thickBot="1"/>
    <row r="6121" ht="81.75" customHeight="1" thickBot="1"/>
    <row r="6122" ht="81.75" customHeight="1" thickBot="1"/>
    <row r="6123" ht="81.75" customHeight="1" thickBot="1"/>
    <row r="6124" ht="81.75" customHeight="1" thickBot="1"/>
    <row r="6125" ht="81.75" customHeight="1" thickBot="1"/>
    <row r="6126" ht="81.75" customHeight="1" thickBot="1"/>
    <row r="6127" ht="81.75" customHeight="1" thickBot="1"/>
    <row r="6128" ht="81.75" customHeight="1" thickBot="1"/>
    <row r="6129" ht="81.75" customHeight="1" thickBot="1"/>
    <row r="6130" ht="81.75" customHeight="1" thickBot="1"/>
    <row r="6131" ht="81.75" customHeight="1" thickBot="1"/>
    <row r="6132" ht="81.75" customHeight="1" thickBot="1"/>
    <row r="6133" ht="81.75" customHeight="1" thickBot="1"/>
    <row r="6134" ht="81.75" customHeight="1" thickBot="1"/>
    <row r="6135" ht="81.75" customHeight="1" thickBot="1"/>
    <row r="6136" ht="81.75" customHeight="1" thickBot="1"/>
    <row r="6137" ht="81.75" customHeight="1" thickBot="1"/>
    <row r="6138" ht="81.75" customHeight="1" thickBot="1"/>
    <row r="6139" ht="81.75" customHeight="1" thickBot="1"/>
    <row r="6140" ht="81.75" customHeight="1" thickBot="1"/>
    <row r="6141" ht="81.75" customHeight="1" thickBot="1"/>
    <row r="6142" ht="81.75" customHeight="1" thickBot="1"/>
    <row r="6143" ht="81.75" customHeight="1" thickBot="1"/>
    <row r="6144" ht="81.75" customHeight="1" thickBot="1"/>
    <row r="6145" ht="81.75" customHeight="1" thickBot="1"/>
    <row r="6146" ht="81.75" customHeight="1" thickBot="1"/>
    <row r="6147" ht="81.75" customHeight="1" thickBot="1"/>
    <row r="6148" ht="81.75" customHeight="1" thickBot="1"/>
    <row r="6149" ht="81.75" customHeight="1" thickBot="1"/>
    <row r="6150" ht="81.75" customHeight="1" thickBot="1"/>
    <row r="6151" ht="81.75" customHeight="1" thickBot="1"/>
    <row r="6152" ht="81.75" customHeight="1" thickBot="1"/>
    <row r="6153" ht="81.75" customHeight="1" thickBot="1"/>
    <row r="6154" ht="81.75" customHeight="1" thickBot="1"/>
    <row r="6155" ht="81.75" customHeight="1" thickBot="1"/>
    <row r="6156" ht="81.75" customHeight="1" thickBot="1"/>
    <row r="6157" ht="81.75" customHeight="1" thickBot="1"/>
    <row r="6158" ht="81.75" customHeight="1" thickBot="1"/>
    <row r="6159" ht="81.75" customHeight="1" thickBot="1"/>
    <row r="6160" ht="81.75" customHeight="1" thickBot="1"/>
    <row r="6161" ht="81.75" customHeight="1" thickBot="1"/>
    <row r="6162" ht="81.75" customHeight="1" thickBot="1"/>
    <row r="6163" ht="81.75" customHeight="1" thickBot="1"/>
    <row r="6164" ht="81.75" customHeight="1" thickBot="1"/>
    <row r="6165" ht="81.75" customHeight="1" thickBot="1"/>
    <row r="6166" ht="81.75" customHeight="1" thickBot="1"/>
    <row r="6167" ht="81.75" customHeight="1" thickBot="1"/>
    <row r="6168" ht="81.75" customHeight="1" thickBot="1"/>
    <row r="6169" ht="81.75" customHeight="1" thickBot="1"/>
    <row r="6170" ht="81.75" customHeight="1" thickBot="1"/>
    <row r="6171" ht="81.75" customHeight="1" thickBot="1"/>
    <row r="6172" ht="81.75" customHeight="1" thickBot="1"/>
    <row r="6173" ht="81.75" customHeight="1" thickBot="1"/>
    <row r="6174" ht="81.75" customHeight="1" thickBot="1"/>
    <row r="6175" ht="81.75" customHeight="1" thickBot="1"/>
    <row r="6176" ht="81.75" customHeight="1" thickBot="1"/>
    <row r="6177" ht="81.75" customHeight="1" thickBot="1"/>
    <row r="6178" ht="81.75" customHeight="1" thickBot="1"/>
    <row r="6179" ht="81.75" customHeight="1" thickBot="1"/>
    <row r="6180" ht="81.75" customHeight="1" thickBot="1"/>
    <row r="6181" ht="81.75" customHeight="1" thickBot="1"/>
    <row r="6182" ht="81.75" customHeight="1" thickBot="1"/>
    <row r="6183" ht="81.75" customHeight="1" thickBot="1"/>
    <row r="6184" ht="81.75" customHeight="1" thickBot="1"/>
    <row r="6185" ht="81.75" customHeight="1" thickBot="1"/>
    <row r="6186" ht="81.75" customHeight="1" thickBot="1"/>
    <row r="6187" ht="81.75" customHeight="1" thickBot="1"/>
    <row r="6188" ht="81.75" customHeight="1" thickBot="1"/>
    <row r="6189" ht="81.75" customHeight="1" thickBot="1"/>
    <row r="6190" ht="81.75" customHeight="1" thickBot="1"/>
    <row r="6191" ht="81.75" customHeight="1" thickBot="1"/>
    <row r="6192" ht="81.75" customHeight="1" thickBot="1"/>
    <row r="6193" ht="81.75" customHeight="1" thickBot="1"/>
    <row r="6194" ht="81.75" customHeight="1" thickBot="1"/>
    <row r="6195" ht="81.75" customHeight="1" thickBot="1"/>
    <row r="6196" ht="81.75" customHeight="1" thickBot="1"/>
    <row r="6197" ht="81.75" customHeight="1" thickBot="1"/>
    <row r="6198" ht="81.75" customHeight="1" thickBot="1"/>
    <row r="6199" ht="81.75" customHeight="1" thickBot="1"/>
    <row r="6200" ht="81.75" customHeight="1" thickBot="1"/>
    <row r="6201" ht="81.75" customHeight="1" thickBot="1"/>
    <row r="6202" ht="81.75" customHeight="1" thickBot="1"/>
    <row r="6203" ht="81.75" customHeight="1" thickBot="1"/>
    <row r="6204" ht="81.75" customHeight="1" thickBot="1"/>
    <row r="6205" ht="81.75" customHeight="1" thickBot="1"/>
    <row r="6206" ht="81.75" customHeight="1" thickBot="1"/>
    <row r="6207" ht="81.75" customHeight="1" thickBot="1"/>
    <row r="6208" ht="81.75" customHeight="1" thickBot="1"/>
    <row r="6209" ht="81.75" customHeight="1" thickBot="1"/>
    <row r="6210" ht="81.75" customHeight="1" thickBot="1"/>
    <row r="6211" ht="81.75" customHeight="1" thickBot="1"/>
    <row r="6212" ht="81.75" customHeight="1" thickBot="1"/>
    <row r="6213" ht="81.75" customHeight="1" thickBot="1"/>
    <row r="6214" ht="81.75" customHeight="1" thickBot="1"/>
    <row r="6215" ht="81.75" customHeight="1" thickBot="1"/>
    <row r="6216" ht="81.75" customHeight="1" thickBot="1"/>
    <row r="6217" ht="81.75" customHeight="1" thickBot="1"/>
    <row r="6218" ht="81.75" customHeight="1" thickBot="1"/>
    <row r="6219" ht="81.75" customHeight="1" thickBot="1"/>
    <row r="6220" ht="81.75" customHeight="1" thickBot="1"/>
    <row r="6221" ht="81.75" customHeight="1" thickBot="1"/>
    <row r="6222" ht="81.75" customHeight="1" thickBot="1"/>
    <row r="6223" ht="81.75" customHeight="1" thickBot="1"/>
    <row r="6224" ht="81.75" customHeight="1" thickBot="1"/>
    <row r="6225" ht="81.75" customHeight="1" thickBot="1"/>
    <row r="6226" ht="81.75" customHeight="1" thickBot="1"/>
    <row r="6227" ht="81.75" customHeight="1" thickBot="1"/>
    <row r="6228" ht="81.75" customHeight="1" thickBot="1"/>
    <row r="6229" ht="81.75" customHeight="1" thickBot="1"/>
    <row r="6230" ht="81.75" customHeight="1" thickBot="1"/>
    <row r="6231" ht="81.75" customHeight="1" thickBot="1"/>
    <row r="6232" ht="81.75" customHeight="1" thickBot="1"/>
    <row r="6233" ht="81.75" customHeight="1" thickBot="1"/>
    <row r="6234" ht="81.75" customHeight="1" thickBot="1"/>
    <row r="6235" ht="81.75" customHeight="1" thickBot="1"/>
    <row r="6236" ht="81.75" customHeight="1" thickBot="1"/>
    <row r="6237" ht="81.75" customHeight="1" thickBot="1"/>
    <row r="6238" ht="81.75" customHeight="1" thickBot="1"/>
    <row r="6239" ht="81.75" customHeight="1" thickBot="1"/>
    <row r="6240" ht="81.75" customHeight="1" thickBot="1"/>
    <row r="6241" ht="81.75" customHeight="1" thickBot="1"/>
    <row r="6242" ht="81.75" customHeight="1" thickBot="1"/>
    <row r="6243" ht="81.75" customHeight="1" thickBot="1"/>
    <row r="6244" ht="81.75" customHeight="1" thickBot="1"/>
    <row r="6245" ht="81.75" customHeight="1" thickBot="1"/>
    <row r="6246" ht="81.75" customHeight="1" thickBot="1"/>
    <row r="6247" ht="81.75" customHeight="1" thickBot="1"/>
    <row r="6248" ht="81.75" customHeight="1" thickBot="1"/>
    <row r="6249" ht="81.75" customHeight="1" thickBot="1"/>
    <row r="6250" ht="81.75" customHeight="1" thickBot="1"/>
    <row r="6251" ht="81.75" customHeight="1" thickBot="1"/>
    <row r="6252" ht="81.75" customHeight="1" thickBot="1"/>
    <row r="6253" ht="81.75" customHeight="1" thickBot="1"/>
    <row r="6254" ht="81.75" customHeight="1" thickBot="1"/>
    <row r="6255" ht="81.75" customHeight="1" thickBot="1"/>
    <row r="6256" ht="81.75" customHeight="1" thickBot="1"/>
    <row r="6257" ht="81.75" customHeight="1" thickBot="1"/>
    <row r="6258" ht="81.75" customHeight="1" thickBot="1"/>
    <row r="6259" ht="81.75" customHeight="1" thickBot="1"/>
    <row r="6260" ht="81.75" customHeight="1" thickBot="1"/>
    <row r="6261" ht="81.75" customHeight="1" thickBot="1"/>
    <row r="6262" ht="81.75" customHeight="1" thickBot="1"/>
    <row r="6263" ht="81.75" customHeight="1" thickBot="1"/>
    <row r="6264" ht="81.75" customHeight="1" thickBot="1"/>
    <row r="6265" ht="81.75" customHeight="1" thickBot="1"/>
    <row r="6266" ht="81.75" customHeight="1" thickBot="1"/>
    <row r="6267" ht="81.75" customHeight="1" thickBot="1"/>
    <row r="6268" ht="81.75" customHeight="1" thickBot="1"/>
    <row r="6269" ht="81.75" customHeight="1" thickBot="1"/>
    <row r="6270" ht="81.75" customHeight="1" thickBot="1"/>
    <row r="6271" ht="81.75" customHeight="1" thickBot="1"/>
    <row r="6272" ht="81.75" customHeight="1" thickBot="1"/>
    <row r="6273" ht="81.75" customHeight="1" thickBot="1"/>
    <row r="6274" ht="81.75" customHeight="1" thickBot="1"/>
    <row r="6275" ht="81.75" customHeight="1" thickBot="1"/>
    <row r="6276" ht="81.75" customHeight="1" thickBot="1"/>
    <row r="6277" ht="81.75" customHeight="1" thickBot="1"/>
    <row r="6278" ht="81.75" customHeight="1" thickBot="1"/>
    <row r="6279" ht="81.75" customHeight="1" thickBot="1"/>
    <row r="6280" ht="81.75" customHeight="1" thickBot="1"/>
    <row r="6281" ht="81.75" customHeight="1" thickBot="1"/>
    <row r="6282" ht="81.75" customHeight="1" thickBot="1"/>
    <row r="6283" ht="81.75" customHeight="1" thickBot="1"/>
    <row r="6284" ht="81.75" customHeight="1" thickBot="1"/>
    <row r="6285" ht="81.75" customHeight="1" thickBot="1"/>
    <row r="6286" ht="81.75" customHeight="1" thickBot="1"/>
    <row r="6287" ht="81.75" customHeight="1" thickBot="1"/>
    <row r="6288" ht="81.75" customHeight="1" thickBot="1"/>
    <row r="6289" ht="81.75" customHeight="1" thickBot="1"/>
    <row r="6290" ht="81.75" customHeight="1" thickBot="1"/>
    <row r="6291" ht="81.75" customHeight="1" thickBot="1"/>
    <row r="6292" ht="81.75" customHeight="1" thickBot="1"/>
    <row r="6293" ht="81.75" customHeight="1" thickBot="1"/>
    <row r="6294" ht="81.75" customHeight="1" thickBot="1"/>
    <row r="6295" ht="81.75" customHeight="1" thickBot="1"/>
    <row r="6296" ht="81.75" customHeight="1" thickBot="1"/>
    <row r="6297" ht="81.75" customHeight="1" thickBot="1"/>
    <row r="6298" ht="81.75" customHeight="1" thickBot="1"/>
    <row r="6299" ht="81.75" customHeight="1" thickBot="1"/>
    <row r="6300" ht="81.75" customHeight="1" thickBot="1"/>
    <row r="6301" ht="81.75" customHeight="1" thickBot="1"/>
    <row r="6302" ht="81.75" customHeight="1" thickBot="1"/>
    <row r="6303" ht="81.75" customHeight="1" thickBot="1"/>
    <row r="6304" ht="81.75" customHeight="1" thickBot="1"/>
    <row r="6305" ht="81.75" customHeight="1" thickBot="1"/>
    <row r="6306" ht="81.75" customHeight="1" thickBot="1"/>
    <row r="6307" ht="81.75" customHeight="1" thickBot="1"/>
    <row r="6308" ht="81.75" customHeight="1" thickBot="1"/>
    <row r="6309" ht="81.75" customHeight="1" thickBot="1"/>
    <row r="6310" ht="81.75" customHeight="1" thickBot="1"/>
    <row r="6311" ht="81.75" customHeight="1" thickBot="1"/>
    <row r="6312" ht="81.75" customHeight="1" thickBot="1"/>
    <row r="6313" ht="81.75" customHeight="1" thickBot="1"/>
    <row r="6314" ht="81.75" customHeight="1" thickBot="1"/>
    <row r="6315" ht="81.75" customHeight="1" thickBot="1"/>
    <row r="6316" ht="81.75" customHeight="1" thickBot="1"/>
    <row r="6317" ht="81.75" customHeight="1" thickBot="1"/>
    <row r="6318" ht="81.75" customHeight="1" thickBot="1"/>
    <row r="6319" ht="81.75" customHeight="1" thickBot="1"/>
    <row r="6320" ht="81.75" customHeight="1" thickBot="1"/>
    <row r="6321" ht="81.75" customHeight="1" thickBot="1"/>
    <row r="6322" ht="81.75" customHeight="1" thickBot="1"/>
    <row r="6323" ht="81.75" customHeight="1" thickBot="1"/>
    <row r="6324" ht="81.75" customHeight="1" thickBot="1"/>
    <row r="6325" ht="81.75" customHeight="1" thickBot="1"/>
    <row r="6326" ht="81.75" customHeight="1" thickBot="1"/>
    <row r="6327" ht="81.75" customHeight="1" thickBot="1"/>
    <row r="6328" ht="81.75" customHeight="1" thickBot="1"/>
    <row r="6329" ht="81.75" customHeight="1" thickBot="1"/>
    <row r="6330" ht="81.75" customHeight="1" thickBot="1"/>
    <row r="6331" ht="81.75" customHeight="1" thickBot="1"/>
    <row r="6332" ht="81.75" customHeight="1" thickBot="1"/>
    <row r="6333" ht="81.75" customHeight="1" thickBot="1"/>
    <row r="6334" ht="81.75" customHeight="1" thickBot="1"/>
    <row r="6335" ht="81.75" customHeight="1" thickBot="1"/>
    <row r="6336" ht="81.75" customHeight="1" thickBot="1"/>
    <row r="6337" ht="81.75" customHeight="1" thickBot="1"/>
    <row r="6338" ht="81.75" customHeight="1" thickBot="1"/>
    <row r="6339" ht="81.75" customHeight="1" thickBot="1"/>
    <row r="6340" ht="81.75" customHeight="1" thickBot="1"/>
    <row r="6341" ht="81.75" customHeight="1" thickBot="1"/>
    <row r="6342" ht="81.75" customHeight="1" thickBot="1"/>
    <row r="6343" ht="81.75" customHeight="1" thickBot="1"/>
    <row r="6344" ht="81.75" customHeight="1" thickBot="1"/>
    <row r="6345" ht="81.75" customHeight="1" thickBot="1"/>
    <row r="6346" ht="81.75" customHeight="1" thickBot="1"/>
    <row r="6347" ht="81.75" customHeight="1" thickBot="1"/>
    <row r="6348" ht="81.75" customHeight="1" thickBot="1"/>
    <row r="6349" ht="81.75" customHeight="1" thickBot="1"/>
    <row r="6350" ht="81.75" customHeight="1" thickBot="1"/>
    <row r="6351" ht="81.75" customHeight="1" thickBot="1"/>
    <row r="6352" ht="81.75" customHeight="1" thickBot="1"/>
    <row r="6353" ht="81.75" customHeight="1" thickBot="1"/>
    <row r="6354" ht="81.75" customHeight="1" thickBot="1"/>
    <row r="6355" ht="81.75" customHeight="1" thickBot="1"/>
    <row r="6356" ht="81.75" customHeight="1" thickBot="1"/>
    <row r="6357" ht="81.75" customHeight="1" thickBot="1"/>
    <row r="6358" ht="81.75" customHeight="1" thickBot="1"/>
    <row r="6359" ht="81.75" customHeight="1" thickBot="1"/>
    <row r="6360" ht="81.75" customHeight="1" thickBot="1"/>
    <row r="6361" ht="81.75" customHeight="1" thickBot="1"/>
    <row r="6362" ht="81.75" customHeight="1" thickBot="1"/>
    <row r="6363" ht="81.75" customHeight="1" thickBot="1"/>
    <row r="6364" ht="81.75" customHeight="1" thickBot="1"/>
    <row r="6365" ht="81.75" customHeight="1" thickBot="1"/>
    <row r="6366" ht="81.75" customHeight="1" thickBot="1"/>
    <row r="6367" ht="81.75" customHeight="1" thickBot="1"/>
    <row r="6368" ht="81.75" customHeight="1" thickBot="1"/>
    <row r="6369" ht="81.75" customHeight="1" thickBot="1"/>
    <row r="6370" ht="81.75" customHeight="1" thickBot="1"/>
    <row r="6371" ht="81.75" customHeight="1" thickBot="1"/>
    <row r="6372" ht="81.75" customHeight="1" thickBot="1"/>
    <row r="6373" ht="81.75" customHeight="1" thickBot="1"/>
    <row r="6374" ht="81.75" customHeight="1" thickBot="1"/>
    <row r="6375" ht="81.75" customHeight="1" thickBot="1"/>
    <row r="6376" ht="81.75" customHeight="1" thickBot="1"/>
    <row r="6377" ht="81.75" customHeight="1" thickBot="1"/>
    <row r="6378" ht="81.75" customHeight="1" thickBot="1"/>
    <row r="6379" ht="81.75" customHeight="1" thickBot="1"/>
    <row r="6380" ht="81.75" customHeight="1" thickBot="1"/>
    <row r="6381" ht="81.75" customHeight="1" thickBot="1"/>
    <row r="6382" ht="81.75" customHeight="1" thickBot="1"/>
    <row r="6383" ht="81.75" customHeight="1" thickBot="1"/>
    <row r="6384" ht="81.75" customHeight="1" thickBot="1"/>
    <row r="6385" ht="81.75" customHeight="1" thickBot="1"/>
    <row r="6386" ht="81.75" customHeight="1" thickBot="1"/>
    <row r="6387" ht="81.75" customHeight="1" thickBot="1"/>
    <row r="6388" ht="81.75" customHeight="1" thickBot="1"/>
    <row r="6389" ht="81.75" customHeight="1" thickBot="1"/>
    <row r="6390" ht="81.75" customHeight="1" thickBot="1"/>
    <row r="6391" ht="81.75" customHeight="1" thickBot="1"/>
    <row r="6392" ht="81.75" customHeight="1" thickBot="1"/>
    <row r="6393" ht="81.75" customHeight="1" thickBot="1"/>
    <row r="6394" ht="81.75" customHeight="1" thickBot="1"/>
    <row r="6395" ht="81.75" customHeight="1" thickBot="1"/>
    <row r="6396" ht="81.75" customHeight="1" thickBot="1"/>
    <row r="6397" ht="81.75" customHeight="1" thickBot="1"/>
    <row r="6398" ht="81.75" customHeight="1" thickBot="1"/>
    <row r="6399" ht="81.75" customHeight="1" thickBot="1"/>
    <row r="6400" ht="81.75" customHeight="1" thickBot="1"/>
    <row r="6401" ht="81.75" customHeight="1" thickBot="1"/>
    <row r="6402" ht="81.75" customHeight="1" thickBot="1"/>
    <row r="6403" ht="81.75" customHeight="1" thickBot="1"/>
    <row r="6404" ht="81.75" customHeight="1" thickBot="1"/>
    <row r="6405" ht="81.75" customHeight="1" thickBot="1"/>
    <row r="6406" ht="81.75" customHeight="1" thickBot="1"/>
    <row r="6407" ht="81.75" customHeight="1" thickBot="1"/>
    <row r="6408" ht="81.75" customHeight="1" thickBot="1"/>
    <row r="6409" ht="81.75" customHeight="1" thickBot="1"/>
    <row r="6410" ht="81.75" customHeight="1" thickBot="1"/>
    <row r="6411" ht="81.75" customHeight="1" thickBot="1"/>
    <row r="6412" ht="81.75" customHeight="1" thickBot="1"/>
    <row r="6413" ht="81.75" customHeight="1" thickBot="1"/>
    <row r="6414" ht="81.75" customHeight="1" thickBot="1"/>
    <row r="6415" ht="81.75" customHeight="1" thickBot="1"/>
    <row r="6416" ht="81.75" customHeight="1" thickBot="1"/>
    <row r="6417" ht="81.75" customHeight="1" thickBot="1"/>
    <row r="6418" ht="81.75" customHeight="1" thickBot="1"/>
    <row r="6419" ht="81.75" customHeight="1" thickBot="1"/>
    <row r="6420" ht="81.75" customHeight="1" thickBot="1"/>
    <row r="6421" ht="81.75" customHeight="1" thickBot="1"/>
    <row r="6422" ht="81.75" customHeight="1" thickBot="1"/>
    <row r="6423" ht="81.75" customHeight="1" thickBot="1"/>
    <row r="6424" ht="81.75" customHeight="1" thickBot="1"/>
    <row r="6425" ht="81.75" customHeight="1" thickBot="1"/>
    <row r="6426" ht="81.75" customHeight="1" thickBot="1"/>
    <row r="6427" ht="81.75" customHeight="1" thickBot="1"/>
    <row r="6428" ht="81.75" customHeight="1" thickBot="1"/>
    <row r="6429" ht="81.75" customHeight="1" thickBot="1"/>
    <row r="6430" ht="81.75" customHeight="1" thickBot="1"/>
    <row r="6431" ht="81.75" customHeight="1" thickBot="1"/>
    <row r="6432" ht="81.75" customHeight="1" thickBot="1"/>
    <row r="6433" ht="81.75" customHeight="1" thickBot="1"/>
    <row r="6434" ht="81.75" customHeight="1" thickBot="1"/>
    <row r="6435" ht="81.75" customHeight="1" thickBot="1"/>
    <row r="6436" ht="81.75" customHeight="1" thickBot="1"/>
    <row r="6437" ht="81.75" customHeight="1" thickBot="1"/>
    <row r="6438" ht="81.75" customHeight="1" thickBot="1"/>
    <row r="6439" ht="81.75" customHeight="1" thickBot="1"/>
    <row r="6440" ht="81.75" customHeight="1" thickBot="1"/>
    <row r="6441" ht="81.75" customHeight="1" thickBot="1"/>
    <row r="6442" ht="81.75" customHeight="1" thickBot="1"/>
    <row r="6443" ht="81.75" customHeight="1" thickBot="1"/>
    <row r="6444" ht="81.75" customHeight="1" thickBot="1"/>
    <row r="6445" ht="81.75" customHeight="1" thickBot="1"/>
    <row r="6446" ht="81.75" customHeight="1" thickBot="1"/>
    <row r="6447" ht="81.75" customHeight="1" thickBot="1"/>
    <row r="6448" ht="81.75" customHeight="1" thickBot="1"/>
    <row r="6449" ht="81.75" customHeight="1" thickBot="1"/>
    <row r="6450" ht="81.75" customHeight="1" thickBot="1"/>
    <row r="6451" ht="81.75" customHeight="1" thickBot="1"/>
    <row r="6452" ht="81.75" customHeight="1" thickBot="1"/>
    <row r="6453" ht="81.75" customHeight="1" thickBot="1"/>
    <row r="6454" ht="81.75" customHeight="1" thickBot="1"/>
    <row r="6455" ht="81.75" customHeight="1" thickBot="1"/>
    <row r="6456" ht="81.75" customHeight="1" thickBot="1"/>
    <row r="6457" ht="81.75" customHeight="1" thickBot="1"/>
    <row r="6458" ht="81.75" customHeight="1" thickBot="1"/>
    <row r="6459" ht="81.75" customHeight="1" thickBot="1"/>
    <row r="6460" ht="81.75" customHeight="1" thickBot="1"/>
    <row r="6461" ht="81.75" customHeight="1" thickBot="1"/>
    <row r="6462" ht="81.75" customHeight="1" thickBot="1"/>
    <row r="6463" ht="81.75" customHeight="1" thickBot="1"/>
    <row r="6464" ht="81.75" customHeight="1" thickBot="1"/>
    <row r="6465" ht="81.75" customHeight="1" thickBot="1"/>
    <row r="6466" ht="81.75" customHeight="1" thickBot="1"/>
    <row r="6467" ht="81.75" customHeight="1" thickBot="1"/>
    <row r="6468" ht="81.75" customHeight="1" thickBot="1"/>
    <row r="6469" ht="81.75" customHeight="1" thickBot="1"/>
    <row r="6470" ht="81.75" customHeight="1" thickBot="1"/>
    <row r="6471" ht="81.75" customHeight="1" thickBot="1"/>
    <row r="6472" ht="81.75" customHeight="1" thickBot="1"/>
    <row r="6473" ht="81.75" customHeight="1" thickBot="1"/>
    <row r="6474" ht="81.75" customHeight="1" thickBot="1"/>
    <row r="6475" ht="81.75" customHeight="1" thickBot="1"/>
    <row r="6476" ht="81.75" customHeight="1" thickBot="1"/>
    <row r="6477" ht="81.75" customHeight="1" thickBot="1"/>
    <row r="6478" ht="81.75" customHeight="1" thickBot="1"/>
    <row r="6479" ht="81.75" customHeight="1" thickBot="1"/>
    <row r="6480" ht="81.75" customHeight="1" thickBot="1"/>
    <row r="6481" ht="81.75" customHeight="1" thickBot="1"/>
    <row r="6482" ht="81.75" customHeight="1" thickBot="1"/>
    <row r="6483" ht="81.75" customHeight="1" thickBot="1"/>
    <row r="6484" ht="81.75" customHeight="1" thickBot="1"/>
    <row r="6485" ht="81.75" customHeight="1" thickBot="1"/>
    <row r="6486" ht="81.75" customHeight="1" thickBot="1"/>
    <row r="6487" ht="81.75" customHeight="1" thickBot="1"/>
    <row r="6488" ht="81.75" customHeight="1" thickBot="1"/>
    <row r="6489" ht="81.75" customHeight="1" thickBot="1"/>
    <row r="6490" ht="81.75" customHeight="1" thickBot="1"/>
    <row r="6491" ht="81.75" customHeight="1" thickBot="1"/>
    <row r="6492" ht="81.75" customHeight="1" thickBot="1"/>
    <row r="6493" ht="81.75" customHeight="1" thickBot="1"/>
    <row r="6494" ht="81.75" customHeight="1" thickBot="1"/>
    <row r="6495" ht="81.75" customHeight="1" thickBot="1"/>
    <row r="6496" ht="81.75" customHeight="1" thickBot="1"/>
    <row r="6497" ht="81.75" customHeight="1" thickBot="1"/>
    <row r="6498" ht="81.75" customHeight="1" thickBot="1"/>
    <row r="6499" ht="81.75" customHeight="1" thickBot="1"/>
    <row r="6500" ht="81.75" customHeight="1" thickBot="1"/>
    <row r="6501" ht="81.75" customHeight="1" thickBot="1"/>
    <row r="6502" ht="81.75" customHeight="1" thickBot="1"/>
    <row r="6503" ht="81.75" customHeight="1" thickBot="1"/>
    <row r="6504" ht="81.75" customHeight="1" thickBot="1"/>
    <row r="6505" ht="81.75" customHeight="1" thickBot="1"/>
    <row r="6506" ht="81.75" customHeight="1" thickBot="1"/>
    <row r="6507" ht="81.75" customHeight="1" thickBot="1"/>
    <row r="6508" ht="81.75" customHeight="1" thickBot="1"/>
    <row r="6509" ht="81.75" customHeight="1" thickBot="1"/>
    <row r="6510" ht="81.75" customHeight="1" thickBot="1"/>
    <row r="6511" ht="81.75" customHeight="1" thickBot="1"/>
    <row r="6512" ht="81.75" customHeight="1" thickBot="1"/>
    <row r="6513" ht="81.75" customHeight="1" thickBot="1"/>
    <row r="6514" ht="81.75" customHeight="1" thickBot="1"/>
    <row r="6515" ht="81.75" customHeight="1" thickBot="1"/>
    <row r="6516" ht="81.75" customHeight="1" thickBot="1"/>
    <row r="6517" ht="81.75" customHeight="1" thickBot="1"/>
    <row r="6518" ht="81.75" customHeight="1" thickBot="1"/>
    <row r="6519" ht="81.75" customHeight="1" thickBot="1"/>
    <row r="6520" ht="81.75" customHeight="1" thickBot="1"/>
    <row r="6521" ht="81.75" customHeight="1" thickBot="1"/>
    <row r="6522" ht="81.75" customHeight="1" thickBot="1"/>
    <row r="6523" ht="81.75" customHeight="1" thickBot="1"/>
    <row r="6524" ht="81.75" customHeight="1" thickBot="1"/>
    <row r="6525" ht="81.75" customHeight="1" thickBot="1"/>
    <row r="6526" ht="81.75" customHeight="1" thickBot="1"/>
    <row r="6527" ht="81.75" customHeight="1" thickBot="1"/>
    <row r="6528" ht="81.75" customHeight="1" thickBot="1"/>
    <row r="6529" ht="81.75" customHeight="1" thickBot="1"/>
    <row r="6530" ht="81.75" customHeight="1" thickBot="1"/>
    <row r="6531" ht="81.75" customHeight="1" thickBot="1"/>
    <row r="6532" ht="81.75" customHeight="1" thickBot="1"/>
    <row r="6533" ht="81.75" customHeight="1" thickBot="1"/>
    <row r="6534" ht="81.75" customHeight="1" thickBot="1"/>
    <row r="6535" ht="81.75" customHeight="1" thickBot="1"/>
    <row r="6536" ht="81.75" customHeight="1" thickBot="1"/>
    <row r="6537" ht="81.75" customHeight="1" thickBot="1"/>
    <row r="6538" ht="81.75" customHeight="1" thickBot="1"/>
    <row r="6539" ht="81.75" customHeight="1" thickBot="1"/>
    <row r="6540" ht="81.75" customHeight="1" thickBot="1"/>
    <row r="6541" ht="81.75" customHeight="1" thickBot="1"/>
    <row r="6542" ht="81.75" customHeight="1" thickBot="1"/>
    <row r="6543" ht="81.75" customHeight="1" thickBot="1"/>
    <row r="6544" ht="81.75" customHeight="1" thickBot="1"/>
    <row r="6545" ht="81.75" customHeight="1" thickBot="1"/>
    <row r="6546" ht="81.75" customHeight="1" thickBot="1"/>
    <row r="6547" ht="81.75" customHeight="1" thickBot="1"/>
    <row r="6548" ht="81.75" customHeight="1" thickBot="1"/>
    <row r="6549" ht="81.75" customHeight="1" thickBot="1"/>
    <row r="6550" ht="81.75" customHeight="1" thickBot="1"/>
    <row r="6551" ht="81.75" customHeight="1" thickBot="1"/>
    <row r="6552" ht="81.75" customHeight="1" thickBot="1"/>
    <row r="6553" ht="81.75" customHeight="1" thickBot="1"/>
    <row r="6554" ht="81.75" customHeight="1" thickBot="1"/>
    <row r="6555" ht="81.75" customHeight="1" thickBot="1"/>
    <row r="6556" ht="81.75" customHeight="1" thickBot="1"/>
    <row r="6557" ht="81.75" customHeight="1" thickBot="1"/>
    <row r="6558" ht="81.75" customHeight="1" thickBot="1"/>
    <row r="6559" ht="81.75" customHeight="1" thickBot="1"/>
    <row r="6560" ht="81.75" customHeight="1" thickBot="1"/>
    <row r="6561" ht="81.75" customHeight="1" thickBot="1"/>
    <row r="6562" ht="81.75" customHeight="1" thickBot="1"/>
    <row r="6563" ht="81.75" customHeight="1" thickBot="1"/>
    <row r="6564" ht="81.75" customHeight="1" thickBot="1"/>
    <row r="6565" ht="81.75" customHeight="1" thickBot="1"/>
    <row r="6566" ht="81.75" customHeight="1" thickBot="1"/>
    <row r="6567" ht="81.75" customHeight="1" thickBot="1"/>
    <row r="6568" ht="81.75" customHeight="1" thickBot="1"/>
    <row r="6569" ht="81.75" customHeight="1" thickBot="1"/>
    <row r="6570" ht="81.75" customHeight="1" thickBot="1"/>
    <row r="6571" ht="81.75" customHeight="1" thickBot="1"/>
    <row r="6572" ht="81.75" customHeight="1" thickBot="1"/>
    <row r="6573" ht="81.75" customHeight="1" thickBot="1"/>
    <row r="6574" ht="81.75" customHeight="1" thickBot="1"/>
    <row r="6575" ht="81.75" customHeight="1" thickBot="1"/>
    <row r="6576" ht="81.75" customHeight="1" thickBot="1"/>
    <row r="6577" ht="81.75" customHeight="1" thickBot="1"/>
    <row r="6578" ht="81.75" customHeight="1" thickBot="1"/>
    <row r="6579" ht="81.75" customHeight="1" thickBot="1"/>
    <row r="6580" ht="81.75" customHeight="1" thickBot="1"/>
    <row r="6581" ht="81.75" customHeight="1" thickBot="1"/>
    <row r="6582" ht="81.75" customHeight="1" thickBot="1"/>
    <row r="6583" ht="81.75" customHeight="1" thickBot="1"/>
    <row r="6584" ht="81.75" customHeight="1" thickBot="1"/>
    <row r="6585" ht="81.75" customHeight="1" thickBot="1"/>
    <row r="6586" ht="81.75" customHeight="1" thickBot="1"/>
    <row r="6587" ht="81.75" customHeight="1" thickBot="1"/>
    <row r="6588" ht="81.75" customHeight="1" thickBot="1"/>
    <row r="6589" ht="81.75" customHeight="1" thickBot="1"/>
    <row r="6590" ht="81.75" customHeight="1" thickBot="1"/>
    <row r="6591" ht="81.75" customHeight="1" thickBot="1"/>
    <row r="6592" ht="81.75" customHeight="1" thickBot="1"/>
    <row r="6593" ht="81.75" customHeight="1" thickBot="1"/>
    <row r="6594" ht="81.75" customHeight="1" thickBot="1"/>
    <row r="6595" ht="81.75" customHeight="1" thickBot="1"/>
    <row r="6596" ht="81.75" customHeight="1" thickBot="1"/>
    <row r="6597" ht="81.75" customHeight="1" thickBot="1"/>
    <row r="6598" ht="81.75" customHeight="1" thickBot="1"/>
    <row r="6599" ht="81.75" customHeight="1" thickBot="1"/>
    <row r="6600" ht="81.75" customHeight="1" thickBot="1"/>
    <row r="6601" ht="81.75" customHeight="1" thickBot="1"/>
    <row r="6602" ht="81.75" customHeight="1" thickBot="1"/>
    <row r="6603" ht="81.75" customHeight="1" thickBot="1"/>
    <row r="6604" ht="81.75" customHeight="1" thickBot="1"/>
    <row r="6605" ht="81.75" customHeight="1" thickBot="1"/>
    <row r="6606" ht="81.75" customHeight="1" thickBot="1"/>
    <row r="6607" ht="81.75" customHeight="1" thickBot="1"/>
    <row r="6608" ht="81.75" customHeight="1" thickBot="1"/>
    <row r="6609" ht="81.75" customHeight="1" thickBot="1"/>
    <row r="6610" ht="81.75" customHeight="1" thickBot="1"/>
    <row r="6611" ht="81.75" customHeight="1" thickBot="1"/>
    <row r="6612" ht="81.75" customHeight="1" thickBot="1"/>
    <row r="6613" ht="81.75" customHeight="1" thickBot="1"/>
    <row r="6614" ht="81.75" customHeight="1" thickBot="1"/>
    <row r="6615" ht="81.75" customHeight="1" thickBot="1"/>
    <row r="6616" ht="81.75" customHeight="1" thickBot="1"/>
    <row r="6617" ht="81.75" customHeight="1" thickBot="1"/>
    <row r="6618" ht="81.75" customHeight="1" thickBot="1"/>
    <row r="6619" ht="81.75" customHeight="1" thickBot="1"/>
    <row r="6620" ht="81.75" customHeight="1" thickBot="1"/>
    <row r="6621" ht="81.75" customHeight="1" thickBot="1"/>
    <row r="6622" ht="81.75" customHeight="1" thickBot="1"/>
    <row r="6623" ht="81.75" customHeight="1" thickBot="1"/>
    <row r="6624" ht="81.75" customHeight="1" thickBot="1"/>
    <row r="6625" ht="81.75" customHeight="1" thickBot="1"/>
    <row r="6626" ht="81.75" customHeight="1" thickBot="1"/>
    <row r="6627" ht="81.75" customHeight="1" thickBot="1"/>
    <row r="6628" ht="81.75" customHeight="1" thickBot="1"/>
    <row r="6629" ht="81.75" customHeight="1" thickBot="1"/>
    <row r="6630" ht="81.75" customHeight="1" thickBot="1"/>
    <row r="6631" ht="81.75" customHeight="1" thickBot="1"/>
    <row r="6632" ht="81.75" customHeight="1" thickBot="1"/>
    <row r="6633" ht="81.75" customHeight="1" thickBot="1"/>
    <row r="6634" ht="81.75" customHeight="1" thickBot="1"/>
    <row r="6635" ht="81.75" customHeight="1" thickBot="1"/>
    <row r="6636" ht="81.75" customHeight="1" thickBot="1"/>
    <row r="6637" ht="81.75" customHeight="1" thickBot="1"/>
    <row r="6638" ht="81.75" customHeight="1" thickBot="1"/>
    <row r="6639" ht="81.75" customHeight="1" thickBot="1"/>
    <row r="6640" ht="81.75" customHeight="1" thickBot="1"/>
    <row r="6641" ht="81.75" customHeight="1" thickBot="1"/>
    <row r="6642" ht="81.75" customHeight="1" thickBot="1"/>
    <row r="6643" ht="81.75" customHeight="1" thickBot="1"/>
    <row r="6644" ht="81.75" customHeight="1" thickBot="1"/>
    <row r="6645" ht="81.75" customHeight="1" thickBot="1"/>
    <row r="6646" ht="81.75" customHeight="1" thickBot="1"/>
    <row r="6647" ht="81.75" customHeight="1" thickBot="1"/>
    <row r="6648" ht="81.75" customHeight="1" thickBot="1"/>
    <row r="6649" ht="81.75" customHeight="1" thickBot="1"/>
    <row r="6650" ht="81.75" customHeight="1" thickBot="1"/>
    <row r="6651" ht="81.75" customHeight="1" thickBot="1"/>
    <row r="6652" ht="81.75" customHeight="1" thickBot="1"/>
    <row r="6653" ht="81.75" customHeight="1" thickBot="1"/>
    <row r="6654" ht="81.75" customHeight="1" thickBot="1"/>
    <row r="6655" ht="81.75" customHeight="1" thickBot="1"/>
    <row r="6656" ht="81.75" customHeight="1" thickBot="1"/>
    <row r="6657" ht="81.75" customHeight="1" thickBot="1"/>
    <row r="6658" ht="81.75" customHeight="1" thickBot="1"/>
    <row r="6659" ht="81.75" customHeight="1" thickBot="1"/>
    <row r="6660" ht="81.75" customHeight="1" thickBot="1"/>
    <row r="6661" ht="81.75" customHeight="1" thickBot="1"/>
    <row r="6662" ht="81.75" customHeight="1" thickBot="1"/>
    <row r="6663" ht="81.75" customHeight="1" thickBot="1"/>
    <row r="6664" ht="81.75" customHeight="1" thickBot="1"/>
    <row r="6665" ht="81.75" customHeight="1" thickBot="1"/>
    <row r="6666" ht="81.75" customHeight="1" thickBot="1"/>
    <row r="6667" ht="81.75" customHeight="1" thickBot="1"/>
    <row r="6668" ht="81.75" customHeight="1" thickBot="1"/>
    <row r="6669" ht="81.75" customHeight="1" thickBot="1"/>
    <row r="6670" ht="81.75" customHeight="1" thickBot="1"/>
    <row r="6671" ht="81.75" customHeight="1" thickBot="1"/>
    <row r="6672" ht="81.75" customHeight="1" thickBot="1"/>
    <row r="6673" ht="81.75" customHeight="1" thickBot="1"/>
    <row r="6674" ht="81.75" customHeight="1" thickBot="1"/>
    <row r="6675" ht="81.75" customHeight="1" thickBot="1"/>
    <row r="6676" ht="81.75" customHeight="1" thickBot="1"/>
    <row r="6677" ht="81.75" customHeight="1" thickBot="1"/>
    <row r="6678" ht="81.75" customHeight="1" thickBot="1"/>
    <row r="6679" ht="81.75" customHeight="1" thickBot="1"/>
    <row r="6680" ht="81.75" customHeight="1" thickBot="1"/>
    <row r="6681" ht="81.75" customHeight="1" thickBot="1"/>
    <row r="6682" ht="81.75" customHeight="1" thickBot="1"/>
    <row r="6683" ht="81.75" customHeight="1" thickBot="1"/>
    <row r="6684" ht="81.75" customHeight="1" thickBot="1"/>
    <row r="6685" ht="81.75" customHeight="1" thickBot="1"/>
    <row r="6686" ht="81.75" customHeight="1" thickBot="1"/>
    <row r="6687" ht="81.75" customHeight="1" thickBot="1"/>
    <row r="6688" ht="81.75" customHeight="1" thickBot="1"/>
    <row r="6689" ht="81.75" customHeight="1" thickBot="1"/>
    <row r="6690" ht="81.75" customHeight="1" thickBot="1"/>
    <row r="6691" ht="81.75" customHeight="1" thickBot="1"/>
    <row r="6692" ht="81.75" customHeight="1" thickBot="1"/>
    <row r="6693" ht="81.75" customHeight="1" thickBot="1"/>
    <row r="6694" ht="81.75" customHeight="1" thickBot="1"/>
    <row r="6695" ht="81.75" customHeight="1" thickBot="1"/>
    <row r="6696" ht="81.75" customHeight="1" thickBot="1"/>
    <row r="6697" ht="81.75" customHeight="1" thickBot="1"/>
    <row r="6698" ht="81.75" customHeight="1" thickBot="1"/>
    <row r="6699" ht="81.75" customHeight="1" thickBot="1"/>
    <row r="6700" ht="81.75" customHeight="1" thickBot="1"/>
    <row r="6701" ht="81.75" customHeight="1" thickBot="1"/>
    <row r="6702" ht="81.75" customHeight="1" thickBot="1"/>
    <row r="6703" ht="81.75" customHeight="1" thickBot="1"/>
    <row r="6704" ht="81.75" customHeight="1" thickBot="1"/>
    <row r="6705" ht="81.75" customHeight="1" thickBot="1"/>
    <row r="6706" ht="81.75" customHeight="1" thickBot="1"/>
    <row r="6707" ht="81.75" customHeight="1" thickBot="1"/>
    <row r="6708" ht="81.75" customHeight="1" thickBot="1"/>
    <row r="6709" ht="81.75" customHeight="1" thickBot="1"/>
    <row r="6710" ht="81.75" customHeight="1" thickBot="1"/>
    <row r="6711" ht="81.75" customHeight="1" thickBot="1"/>
    <row r="6712" ht="81.75" customHeight="1" thickBot="1"/>
    <row r="6713" ht="81.75" customHeight="1" thickBot="1"/>
    <row r="6714" ht="81.75" customHeight="1" thickBot="1"/>
    <row r="6715" ht="81.75" customHeight="1" thickBot="1"/>
    <row r="6716" ht="81.75" customHeight="1" thickBot="1"/>
    <row r="6717" ht="81.75" customHeight="1" thickBot="1"/>
    <row r="6718" ht="81.75" customHeight="1" thickBot="1"/>
    <row r="6719" ht="81.75" customHeight="1" thickBot="1"/>
    <row r="6720" ht="81.75" customHeight="1" thickBot="1"/>
    <row r="6721" ht="81.75" customHeight="1" thickBot="1"/>
    <row r="6722" ht="81.75" customHeight="1" thickBot="1"/>
    <row r="6723" ht="81.75" customHeight="1" thickBot="1"/>
    <row r="6724" ht="81.75" customHeight="1" thickBot="1"/>
    <row r="6725" ht="81.75" customHeight="1" thickBot="1"/>
    <row r="6726" ht="81.75" customHeight="1" thickBot="1"/>
    <row r="6727" ht="81.75" customHeight="1" thickBot="1"/>
    <row r="6728" ht="81.75" customHeight="1" thickBot="1"/>
    <row r="6729" ht="81.75" customHeight="1" thickBot="1"/>
    <row r="6730" ht="81.75" customHeight="1" thickBot="1"/>
    <row r="6731" ht="81.75" customHeight="1" thickBot="1"/>
    <row r="6732" ht="81.75" customHeight="1" thickBot="1"/>
    <row r="6733" ht="81.75" customHeight="1" thickBot="1"/>
    <row r="6734" ht="81.75" customHeight="1" thickBot="1"/>
    <row r="6735" ht="81.75" customHeight="1" thickBot="1"/>
    <row r="6736" ht="81.75" customHeight="1" thickBot="1"/>
    <row r="6737" ht="81.75" customHeight="1" thickBot="1"/>
    <row r="6738" ht="81.75" customHeight="1" thickBot="1"/>
    <row r="6739" ht="81.75" customHeight="1" thickBot="1"/>
    <row r="6740" ht="81.75" customHeight="1" thickBot="1"/>
    <row r="6741" ht="81.75" customHeight="1" thickBot="1"/>
    <row r="6742" ht="81.75" customHeight="1" thickBot="1"/>
    <row r="6743" ht="81.75" customHeight="1" thickBot="1"/>
    <row r="6744" ht="81.75" customHeight="1" thickBot="1"/>
    <row r="6745" ht="81.75" customHeight="1" thickBot="1"/>
    <row r="6746" ht="81.75" customHeight="1" thickBot="1"/>
    <row r="6747" ht="81.75" customHeight="1" thickBot="1"/>
    <row r="6748" ht="81.75" customHeight="1" thickBot="1"/>
    <row r="6749" ht="81.75" customHeight="1" thickBot="1"/>
    <row r="6750" ht="81.75" customHeight="1" thickBot="1"/>
    <row r="6751" ht="81.75" customHeight="1" thickBot="1"/>
    <row r="6752" ht="81.75" customHeight="1" thickBot="1"/>
    <row r="6753" ht="81.75" customHeight="1" thickBot="1"/>
    <row r="6754" ht="81.75" customHeight="1" thickBot="1"/>
    <row r="6755" ht="81.75" customHeight="1" thickBot="1"/>
    <row r="6756" ht="81.75" customHeight="1" thickBot="1"/>
    <row r="6757" ht="81.75" customHeight="1" thickBot="1"/>
    <row r="6758" ht="81.75" customHeight="1" thickBot="1"/>
    <row r="6759" ht="81.75" customHeight="1" thickBot="1"/>
    <row r="6760" ht="81.75" customHeight="1" thickBot="1"/>
    <row r="6761" ht="81.75" customHeight="1" thickBot="1"/>
    <row r="6762" ht="81.75" customHeight="1" thickBot="1"/>
    <row r="6763" ht="81.75" customHeight="1" thickBot="1"/>
    <row r="6764" ht="81.75" customHeight="1" thickBot="1"/>
    <row r="6765" ht="81.75" customHeight="1" thickBot="1"/>
    <row r="6766" ht="81.75" customHeight="1" thickBot="1"/>
    <row r="6767" ht="81.75" customHeight="1" thickBot="1"/>
    <row r="6768" ht="81.75" customHeight="1" thickBot="1"/>
    <row r="6769" ht="81.75" customHeight="1" thickBot="1"/>
    <row r="6770" ht="81.75" customHeight="1" thickBot="1"/>
    <row r="6771" ht="81.75" customHeight="1" thickBot="1"/>
    <row r="6772" ht="81.75" customHeight="1" thickBot="1"/>
    <row r="6773" ht="81.75" customHeight="1" thickBot="1"/>
    <row r="6774" ht="81.75" customHeight="1" thickBot="1"/>
    <row r="6775" ht="81.75" customHeight="1" thickBot="1"/>
    <row r="6776" ht="81.75" customHeight="1" thickBot="1"/>
    <row r="6777" ht="81.75" customHeight="1" thickBot="1"/>
    <row r="6778" ht="81.75" customHeight="1" thickBot="1"/>
    <row r="6779" ht="81.75" customHeight="1" thickBot="1"/>
    <row r="6780" ht="81.75" customHeight="1" thickBot="1"/>
    <row r="6781" ht="81.75" customHeight="1" thickBot="1"/>
    <row r="6782" ht="81.75" customHeight="1" thickBot="1"/>
    <row r="6783" ht="81.75" customHeight="1" thickBot="1"/>
    <row r="6784" ht="81.75" customHeight="1" thickBot="1"/>
    <row r="6785" ht="81.75" customHeight="1" thickBot="1"/>
    <row r="6786" ht="81.75" customHeight="1" thickBot="1"/>
    <row r="6787" ht="81.75" customHeight="1" thickBot="1"/>
    <row r="6788" ht="81.75" customHeight="1" thickBot="1"/>
    <row r="6789" ht="81.75" customHeight="1" thickBot="1"/>
    <row r="6790" ht="81.75" customHeight="1" thickBot="1"/>
    <row r="6791" ht="81.75" customHeight="1" thickBot="1"/>
    <row r="6792" ht="81.75" customHeight="1" thickBot="1"/>
    <row r="6793" ht="81.75" customHeight="1" thickBot="1"/>
    <row r="6794" ht="81.75" customHeight="1" thickBot="1"/>
    <row r="6795" ht="81.75" customHeight="1" thickBot="1"/>
    <row r="6796" ht="81.75" customHeight="1" thickBot="1"/>
    <row r="6797" ht="81.75" customHeight="1" thickBot="1"/>
    <row r="6798" ht="81.75" customHeight="1" thickBot="1"/>
    <row r="6799" ht="81.75" customHeight="1" thickBot="1"/>
    <row r="6800" ht="81.75" customHeight="1" thickBot="1"/>
    <row r="6801" ht="81.75" customHeight="1" thickBot="1"/>
    <row r="6802" ht="81.75" customHeight="1" thickBot="1"/>
    <row r="6803" ht="81.75" customHeight="1" thickBot="1"/>
    <row r="6804" ht="81.75" customHeight="1" thickBot="1"/>
    <row r="6805" ht="81.75" customHeight="1" thickBot="1"/>
    <row r="6806" ht="81.75" customHeight="1" thickBot="1"/>
    <row r="6807" ht="81.75" customHeight="1" thickBot="1"/>
    <row r="6808" ht="81.75" customHeight="1" thickBot="1"/>
    <row r="6809" ht="81.75" customHeight="1" thickBot="1"/>
    <row r="6810" ht="81.75" customHeight="1" thickBot="1"/>
    <row r="6811" ht="81.75" customHeight="1" thickBot="1"/>
    <row r="6812" ht="81.75" customHeight="1" thickBot="1"/>
    <row r="6813" ht="81.75" customHeight="1" thickBot="1"/>
    <row r="6814" ht="81.75" customHeight="1" thickBot="1"/>
    <row r="6815" ht="81.75" customHeight="1" thickBot="1"/>
    <row r="6816" ht="81.75" customHeight="1" thickBot="1"/>
    <row r="6817" ht="81.75" customHeight="1" thickBot="1"/>
    <row r="6818" ht="81.75" customHeight="1" thickBot="1"/>
    <row r="6819" ht="81.75" customHeight="1" thickBot="1"/>
    <row r="6820" ht="81.75" customHeight="1" thickBot="1"/>
    <row r="6821" ht="81.75" customHeight="1" thickBot="1"/>
    <row r="6822" ht="81.75" customHeight="1" thickBot="1"/>
    <row r="6823" ht="81.75" customHeight="1" thickBot="1"/>
    <row r="6824" ht="81.75" customHeight="1" thickBot="1"/>
    <row r="6825" ht="81.75" customHeight="1" thickBot="1"/>
    <row r="6826" ht="81.75" customHeight="1" thickBot="1"/>
    <row r="6827" ht="81.75" customHeight="1" thickBot="1"/>
    <row r="6828" ht="81.75" customHeight="1" thickBot="1"/>
    <row r="6829" ht="81.75" customHeight="1" thickBot="1"/>
    <row r="6830" ht="81.75" customHeight="1" thickBot="1"/>
    <row r="6831" ht="81.75" customHeight="1" thickBot="1"/>
    <row r="6832" ht="81.75" customHeight="1" thickBot="1"/>
    <row r="6833" ht="81.75" customHeight="1" thickBot="1"/>
    <row r="6834" ht="81.75" customHeight="1" thickBot="1"/>
    <row r="6835" ht="81.75" customHeight="1" thickBot="1"/>
    <row r="6836" ht="81.75" customHeight="1" thickBot="1"/>
    <row r="6837" ht="81.75" customHeight="1" thickBot="1"/>
    <row r="6838" ht="81.75" customHeight="1" thickBot="1"/>
    <row r="6839" ht="81.75" customHeight="1" thickBot="1"/>
    <row r="6840" ht="81.75" customHeight="1" thickBot="1"/>
    <row r="6841" ht="81.75" customHeight="1" thickBot="1"/>
    <row r="6842" ht="81.75" customHeight="1" thickBot="1"/>
    <row r="6843" ht="81.75" customHeight="1" thickBot="1"/>
    <row r="6844" ht="81.75" customHeight="1" thickBot="1"/>
    <row r="6845" ht="81.75" customHeight="1" thickBot="1"/>
    <row r="6846" ht="81.75" customHeight="1" thickBot="1"/>
    <row r="6847" ht="81.75" customHeight="1" thickBot="1"/>
    <row r="6848" ht="81.75" customHeight="1" thickBot="1"/>
    <row r="6849" ht="81.75" customHeight="1" thickBot="1"/>
    <row r="6850" ht="81.75" customHeight="1" thickBot="1"/>
    <row r="6851" ht="81.75" customHeight="1" thickBot="1"/>
    <row r="6852" ht="81.75" customHeight="1" thickBot="1"/>
    <row r="6853" ht="81.75" customHeight="1" thickBot="1"/>
    <row r="6854" ht="81.75" customHeight="1" thickBot="1"/>
    <row r="6855" ht="81.75" customHeight="1" thickBot="1"/>
    <row r="6856" ht="81.75" customHeight="1" thickBot="1"/>
    <row r="6857" ht="81.75" customHeight="1" thickBot="1"/>
    <row r="6858" ht="81.75" customHeight="1" thickBot="1"/>
    <row r="6859" ht="81.75" customHeight="1" thickBot="1"/>
    <row r="6860" ht="81.75" customHeight="1" thickBot="1"/>
    <row r="6861" ht="81.75" customHeight="1" thickBot="1"/>
    <row r="6862" ht="81.75" customHeight="1" thickBot="1"/>
    <row r="6863" ht="81.75" customHeight="1" thickBot="1"/>
    <row r="6864" ht="81.75" customHeight="1" thickBot="1"/>
    <row r="6865" ht="81.75" customHeight="1" thickBot="1"/>
    <row r="6866" ht="81.75" customHeight="1" thickBot="1"/>
    <row r="6867" ht="81.75" customHeight="1" thickBot="1"/>
    <row r="6868" ht="81.75" customHeight="1" thickBot="1"/>
    <row r="6869" ht="81.75" customHeight="1" thickBot="1"/>
    <row r="6870" ht="81.75" customHeight="1" thickBot="1"/>
    <row r="6871" ht="81.75" customHeight="1" thickBot="1"/>
    <row r="6872" ht="81.75" customHeight="1" thickBot="1"/>
    <row r="6873" ht="81.75" customHeight="1" thickBot="1"/>
    <row r="6874" ht="81.75" customHeight="1" thickBot="1"/>
    <row r="6875" ht="81.75" customHeight="1" thickBot="1"/>
    <row r="6876" ht="81.75" customHeight="1" thickBot="1"/>
    <row r="6877" ht="81.75" customHeight="1" thickBot="1"/>
    <row r="6878" ht="81.75" customHeight="1" thickBot="1"/>
    <row r="6879" ht="81.75" customHeight="1" thickBot="1"/>
    <row r="6880" ht="81.75" customHeight="1" thickBot="1"/>
    <row r="6881" ht="81.75" customHeight="1" thickBot="1"/>
    <row r="6882" ht="81.75" customHeight="1" thickBot="1"/>
    <row r="6883" ht="81.75" customHeight="1" thickBot="1"/>
    <row r="6884" ht="81.75" customHeight="1" thickBot="1"/>
    <row r="6885" ht="81.75" customHeight="1" thickBot="1"/>
    <row r="6886" ht="81.75" customHeight="1" thickBot="1"/>
    <row r="6887" ht="81.75" customHeight="1" thickBot="1"/>
    <row r="6888" ht="81.75" customHeight="1" thickBot="1"/>
    <row r="6889" ht="81.75" customHeight="1" thickBot="1"/>
    <row r="6890" ht="81.75" customHeight="1" thickBot="1"/>
    <row r="6891" ht="81.75" customHeight="1" thickBot="1"/>
    <row r="6892" ht="81.75" customHeight="1" thickBot="1"/>
    <row r="6893" ht="81.75" customHeight="1" thickBot="1"/>
    <row r="6894" ht="81.75" customHeight="1" thickBot="1"/>
    <row r="6895" ht="81.75" customHeight="1" thickBot="1"/>
    <row r="6896" ht="81.75" customHeight="1" thickBot="1"/>
    <row r="6897" ht="81.75" customHeight="1" thickBot="1"/>
    <row r="6898" ht="81.75" customHeight="1" thickBot="1"/>
    <row r="6899" ht="81.75" customHeight="1" thickBot="1"/>
    <row r="6900" ht="81.75" customHeight="1" thickBot="1"/>
    <row r="6901" ht="81.75" customHeight="1" thickBot="1"/>
    <row r="6902" ht="81.75" customHeight="1" thickBot="1"/>
    <row r="6903" ht="81.75" customHeight="1" thickBot="1"/>
    <row r="6904" ht="81.75" customHeight="1" thickBot="1"/>
    <row r="6905" ht="81.75" customHeight="1" thickBot="1"/>
    <row r="6906" ht="81.75" customHeight="1" thickBot="1"/>
    <row r="6907" ht="81.75" customHeight="1" thickBot="1"/>
    <row r="6908" ht="81.75" customHeight="1" thickBot="1"/>
    <row r="6909" ht="81.75" customHeight="1" thickBot="1"/>
    <row r="6910" ht="81.75" customHeight="1" thickBot="1"/>
    <row r="6911" ht="81.75" customHeight="1" thickBot="1"/>
    <row r="6912" ht="81.75" customHeight="1" thickBot="1"/>
    <row r="6913" ht="81.75" customHeight="1" thickBot="1"/>
    <row r="6914" ht="81.75" customHeight="1" thickBot="1"/>
    <row r="6915" ht="81.75" customHeight="1" thickBot="1"/>
    <row r="6916" ht="81.75" customHeight="1" thickBot="1"/>
    <row r="6917" ht="81.75" customHeight="1" thickBot="1"/>
    <row r="6918" ht="81.75" customHeight="1" thickBot="1"/>
    <row r="6919" ht="81.75" customHeight="1" thickBot="1"/>
    <row r="6920" ht="81.75" customHeight="1" thickBot="1"/>
    <row r="6921" ht="81.75" customHeight="1" thickBot="1"/>
    <row r="6922" ht="81.75" customHeight="1" thickBot="1"/>
    <row r="6923" ht="81.75" customHeight="1" thickBot="1"/>
    <row r="6924" ht="81.75" customHeight="1" thickBot="1"/>
    <row r="6925" ht="81.75" customHeight="1" thickBot="1"/>
    <row r="6926" ht="81.75" customHeight="1" thickBot="1"/>
    <row r="6927" ht="81.75" customHeight="1" thickBot="1"/>
    <row r="6928" ht="81.75" customHeight="1" thickBot="1"/>
    <row r="6929" ht="81.75" customHeight="1" thickBot="1"/>
    <row r="6930" ht="81.75" customHeight="1" thickBot="1"/>
    <row r="6931" ht="81.75" customHeight="1" thickBot="1"/>
    <row r="6932" ht="81.75" customHeight="1" thickBot="1"/>
    <row r="6933" ht="81.75" customHeight="1" thickBot="1"/>
    <row r="6934" ht="81.75" customHeight="1" thickBot="1"/>
    <row r="6935" ht="81.75" customHeight="1" thickBot="1"/>
    <row r="6936" ht="81.75" customHeight="1" thickBot="1"/>
    <row r="6937" ht="81.75" customHeight="1" thickBot="1"/>
    <row r="6938" ht="81.75" customHeight="1" thickBot="1"/>
    <row r="6939" ht="81.75" customHeight="1" thickBot="1"/>
    <row r="6940" ht="81.75" customHeight="1" thickBot="1"/>
    <row r="6941" ht="81.75" customHeight="1" thickBot="1"/>
    <row r="6942" ht="81.75" customHeight="1" thickBot="1"/>
    <row r="6943" ht="81.75" customHeight="1" thickBot="1"/>
    <row r="6944" ht="81.75" customHeight="1" thickBot="1"/>
    <row r="6945" ht="81.75" customHeight="1" thickBot="1"/>
    <row r="6946" ht="81.75" customHeight="1" thickBot="1"/>
    <row r="6947" ht="81.75" customHeight="1" thickBot="1"/>
    <row r="6948" ht="81.75" customHeight="1" thickBot="1"/>
    <row r="6949" ht="81.75" customHeight="1" thickBot="1"/>
    <row r="6950" ht="81.75" customHeight="1" thickBot="1"/>
    <row r="6951" ht="81.75" customHeight="1" thickBot="1"/>
    <row r="6952" ht="81.75" customHeight="1" thickBot="1"/>
    <row r="6953" ht="81.75" customHeight="1" thickBot="1"/>
    <row r="6954" ht="81.75" customHeight="1" thickBot="1"/>
    <row r="6955" ht="81.75" customHeight="1" thickBot="1"/>
    <row r="6956" ht="81.75" customHeight="1" thickBot="1"/>
    <row r="6957" ht="81.75" customHeight="1" thickBot="1"/>
    <row r="6958" ht="81.75" customHeight="1" thickBot="1"/>
    <row r="6959" ht="81.75" customHeight="1" thickBot="1"/>
    <row r="6960" ht="81.75" customHeight="1" thickBot="1"/>
    <row r="6961" ht="81.75" customHeight="1" thickBot="1"/>
    <row r="6962" ht="81.75" customHeight="1" thickBot="1"/>
    <row r="6963" ht="81.75" customHeight="1" thickBot="1"/>
    <row r="6964" ht="81.75" customHeight="1" thickBot="1"/>
    <row r="6965" ht="81.75" customHeight="1" thickBot="1"/>
    <row r="6966" ht="81.75" customHeight="1" thickBot="1"/>
    <row r="6967" ht="81.75" customHeight="1" thickBot="1"/>
    <row r="6968" ht="81.75" customHeight="1" thickBot="1"/>
    <row r="6969" ht="81.75" customHeight="1" thickBot="1"/>
    <row r="6970" ht="81.75" customHeight="1" thickBot="1"/>
    <row r="6971" ht="81.75" customHeight="1" thickBot="1"/>
    <row r="6972" ht="81.75" customHeight="1" thickBot="1"/>
    <row r="6973" ht="81.75" customHeight="1" thickBot="1"/>
    <row r="6974" ht="81.75" customHeight="1" thickBot="1"/>
    <row r="6975" ht="81.75" customHeight="1" thickBot="1"/>
    <row r="6976" ht="81.75" customHeight="1" thickBot="1"/>
    <row r="6977" ht="81.75" customHeight="1" thickBot="1"/>
    <row r="6978" ht="81.75" customHeight="1" thickBot="1"/>
    <row r="6979" ht="81.75" customHeight="1" thickBot="1"/>
    <row r="6980" ht="81.75" customHeight="1" thickBot="1"/>
    <row r="6981" ht="81.75" customHeight="1" thickBot="1"/>
    <row r="6982" ht="81.75" customHeight="1" thickBot="1"/>
    <row r="6983" ht="81.75" customHeight="1" thickBot="1"/>
    <row r="6984" ht="81.75" customHeight="1" thickBot="1"/>
    <row r="6985" ht="81.75" customHeight="1" thickBot="1"/>
    <row r="6986" ht="81.75" customHeight="1" thickBot="1"/>
    <row r="6987" ht="81.75" customHeight="1" thickBot="1"/>
    <row r="6988" ht="81.75" customHeight="1" thickBot="1"/>
    <row r="6989" ht="81.75" customHeight="1" thickBot="1"/>
    <row r="6990" ht="81.75" customHeight="1" thickBot="1"/>
    <row r="6991" ht="81.75" customHeight="1" thickBot="1"/>
    <row r="6992" ht="81.75" customHeight="1" thickBot="1"/>
    <row r="6993" ht="81.75" customHeight="1" thickBot="1"/>
    <row r="6994" ht="81.75" customHeight="1" thickBot="1"/>
    <row r="6995" ht="81.75" customHeight="1" thickBot="1"/>
    <row r="6996" ht="81.75" customHeight="1" thickBot="1"/>
    <row r="6997" ht="81.75" customHeight="1" thickBot="1"/>
    <row r="6998" ht="81.75" customHeight="1" thickBot="1"/>
    <row r="6999" ht="81.75" customHeight="1" thickBot="1"/>
    <row r="7000" ht="81.75" customHeight="1" thickBot="1"/>
    <row r="7001" ht="81.75" customHeight="1" thickBot="1"/>
    <row r="7002" ht="81.75" customHeight="1" thickBot="1"/>
    <row r="7003" ht="81.75" customHeight="1" thickBot="1"/>
    <row r="7004" ht="81.75" customHeight="1" thickBot="1"/>
    <row r="7005" ht="81.75" customHeight="1" thickBot="1"/>
    <row r="7006" ht="81.75" customHeight="1" thickBot="1"/>
    <row r="7007" ht="81.75" customHeight="1" thickBot="1"/>
    <row r="7008" ht="81.75" customHeight="1" thickBot="1"/>
    <row r="7009" ht="81.75" customHeight="1" thickBot="1"/>
    <row r="7010" ht="81.75" customHeight="1" thickBot="1"/>
    <row r="7011" ht="81.75" customHeight="1" thickBot="1"/>
    <row r="7012" ht="81.75" customHeight="1" thickBot="1"/>
    <row r="7013" ht="81.75" customHeight="1" thickBot="1"/>
    <row r="7014" ht="81.75" customHeight="1" thickBot="1"/>
    <row r="7015" ht="81.75" customHeight="1" thickBot="1"/>
    <row r="7016" ht="81.75" customHeight="1" thickBot="1"/>
    <row r="7017" ht="81.75" customHeight="1" thickBot="1"/>
    <row r="7018" ht="81.75" customHeight="1" thickBot="1"/>
    <row r="7019" ht="81.75" customHeight="1" thickBot="1"/>
    <row r="7020" ht="81.75" customHeight="1" thickBot="1"/>
    <row r="7021" ht="81.75" customHeight="1" thickBot="1"/>
    <row r="7022" ht="81.75" customHeight="1" thickBot="1"/>
    <row r="7023" ht="81.75" customHeight="1" thickBot="1"/>
    <row r="7024" ht="81.75" customHeight="1" thickBot="1"/>
    <row r="7025" ht="81.75" customHeight="1" thickBot="1"/>
    <row r="7026" ht="81.75" customHeight="1" thickBot="1"/>
    <row r="7027" ht="81.75" customHeight="1" thickBot="1"/>
    <row r="7028" ht="81.75" customHeight="1" thickBot="1"/>
    <row r="7029" ht="81.75" customHeight="1" thickBot="1"/>
    <row r="7030" ht="81.75" customHeight="1" thickBot="1"/>
    <row r="7031" ht="81.75" customHeight="1" thickBot="1"/>
    <row r="7032" ht="81.75" customHeight="1" thickBot="1"/>
    <row r="7033" ht="81.75" customHeight="1" thickBot="1"/>
    <row r="7034" ht="81.75" customHeight="1" thickBot="1"/>
    <row r="7035" ht="81.75" customHeight="1" thickBot="1"/>
    <row r="7036" ht="81.75" customHeight="1" thickBot="1"/>
    <row r="7037" ht="81.75" customHeight="1" thickBot="1"/>
    <row r="7038" ht="81.75" customHeight="1" thickBot="1"/>
    <row r="7039" ht="81.75" customHeight="1" thickBot="1"/>
    <row r="7040" ht="81.75" customHeight="1" thickBot="1"/>
    <row r="7041" ht="81.75" customHeight="1" thickBot="1"/>
    <row r="7042" ht="81.75" customHeight="1" thickBot="1"/>
    <row r="7043" ht="81.75" customHeight="1" thickBot="1"/>
    <row r="7044" ht="81.75" customHeight="1" thickBot="1"/>
    <row r="7045" ht="81.75" customHeight="1" thickBot="1"/>
    <row r="7046" ht="81.75" customHeight="1" thickBot="1"/>
    <row r="7047" ht="81.75" customHeight="1" thickBot="1"/>
    <row r="7048" ht="81.75" customHeight="1" thickBot="1"/>
    <row r="7049" ht="81.75" customHeight="1" thickBot="1"/>
    <row r="7050" ht="81.75" customHeight="1" thickBot="1"/>
    <row r="7051" ht="81.75" customHeight="1" thickBot="1"/>
    <row r="7052" ht="81.75" customHeight="1" thickBot="1"/>
    <row r="7053" ht="81.75" customHeight="1" thickBot="1"/>
    <row r="7054" ht="81.75" customHeight="1" thickBot="1"/>
    <row r="7055" ht="81.75" customHeight="1" thickBot="1"/>
    <row r="7056" ht="81.75" customHeight="1" thickBot="1"/>
    <row r="7057" ht="81.75" customHeight="1" thickBot="1"/>
    <row r="7058" ht="81.75" customHeight="1" thickBot="1"/>
    <row r="7059" ht="81.75" customHeight="1" thickBot="1"/>
    <row r="7060" ht="81.75" customHeight="1" thickBot="1"/>
    <row r="7061" ht="81.75" customHeight="1" thickBot="1"/>
    <row r="7062" ht="81.75" customHeight="1" thickBot="1"/>
    <row r="7063" ht="81.75" customHeight="1" thickBot="1"/>
    <row r="7064" ht="81.75" customHeight="1" thickBot="1"/>
    <row r="7065" ht="81.75" customHeight="1" thickBot="1"/>
    <row r="7066" ht="81.75" customHeight="1" thickBot="1"/>
    <row r="7067" ht="81.75" customHeight="1" thickBot="1"/>
    <row r="7068" ht="81.75" customHeight="1" thickBot="1"/>
    <row r="7069" ht="81.75" customHeight="1" thickBot="1"/>
    <row r="7070" ht="81.75" customHeight="1" thickBot="1"/>
    <row r="7071" ht="81.75" customHeight="1" thickBot="1"/>
    <row r="7072" ht="81.75" customHeight="1" thickBot="1"/>
    <row r="7073" ht="81.75" customHeight="1" thickBot="1"/>
    <row r="7074" ht="81.75" customHeight="1" thickBot="1"/>
    <row r="7075" ht="81.75" customHeight="1" thickBot="1"/>
    <row r="7076" ht="81.75" customHeight="1" thickBot="1"/>
    <row r="7077" ht="81.75" customHeight="1" thickBot="1"/>
    <row r="7078" ht="81.75" customHeight="1" thickBot="1"/>
    <row r="7079" ht="81.75" customHeight="1" thickBot="1"/>
    <row r="7080" ht="81.75" customHeight="1" thickBot="1"/>
    <row r="7081" ht="81.75" customHeight="1" thickBot="1"/>
    <row r="7082" ht="81.75" customHeight="1" thickBot="1"/>
    <row r="7083" ht="81.75" customHeight="1" thickBot="1"/>
    <row r="7084" ht="81.75" customHeight="1" thickBot="1"/>
    <row r="7085" ht="81.75" customHeight="1" thickBot="1"/>
    <row r="7086" ht="81.75" customHeight="1" thickBot="1"/>
    <row r="7087" ht="81.75" customHeight="1" thickBot="1"/>
    <row r="7088" ht="81.75" customHeight="1" thickBot="1"/>
    <row r="7089" ht="81.75" customHeight="1" thickBot="1"/>
    <row r="7090" ht="81.75" customHeight="1" thickBot="1"/>
    <row r="7091" ht="81.75" customHeight="1" thickBot="1"/>
    <row r="7092" ht="81.75" customHeight="1" thickBot="1"/>
    <row r="7093" ht="81.75" customHeight="1" thickBot="1"/>
    <row r="7094" ht="81.75" customHeight="1" thickBot="1"/>
    <row r="7095" ht="81.75" customHeight="1" thickBot="1"/>
    <row r="7096" ht="81.75" customHeight="1" thickBot="1"/>
    <row r="7097" ht="81.75" customHeight="1" thickBot="1"/>
    <row r="7098" ht="81.75" customHeight="1" thickBot="1"/>
    <row r="7099" ht="81.75" customHeight="1" thickBot="1"/>
    <row r="7100" ht="81.75" customHeight="1" thickBot="1"/>
    <row r="7101" ht="81.75" customHeight="1" thickBot="1"/>
    <row r="7102" ht="81.75" customHeight="1" thickBot="1"/>
    <row r="7103" ht="81.75" customHeight="1" thickBot="1"/>
    <row r="7104" ht="81.75" customHeight="1" thickBot="1"/>
    <row r="7105" ht="81.75" customHeight="1" thickBot="1"/>
    <row r="7106" ht="81.75" customHeight="1" thickBot="1"/>
    <row r="7107" ht="81.75" customHeight="1" thickBot="1"/>
    <row r="7108" ht="81.75" customHeight="1" thickBot="1"/>
    <row r="7109" ht="81.75" customHeight="1" thickBot="1"/>
    <row r="7110" ht="81.75" customHeight="1" thickBot="1"/>
    <row r="7111" ht="81.75" customHeight="1" thickBot="1"/>
    <row r="7112" ht="81.75" customHeight="1" thickBot="1"/>
    <row r="7113" ht="81.75" customHeight="1" thickBot="1"/>
    <row r="7114" ht="81.75" customHeight="1" thickBot="1"/>
    <row r="7115" ht="81.75" customHeight="1" thickBot="1"/>
    <row r="7116" ht="81.75" customHeight="1" thickBot="1"/>
    <row r="7117" ht="81.75" customHeight="1" thickBot="1"/>
    <row r="7118" ht="81.75" customHeight="1" thickBot="1"/>
    <row r="7119" ht="81.75" customHeight="1" thickBot="1"/>
    <row r="7120" ht="81.75" customHeight="1" thickBot="1"/>
    <row r="7121" ht="81.75" customHeight="1" thickBot="1"/>
    <row r="7122" ht="81.75" customHeight="1" thickBot="1"/>
    <row r="7123" ht="81.75" customHeight="1" thickBot="1"/>
    <row r="7124" ht="81.75" customHeight="1" thickBot="1"/>
    <row r="7125" ht="81.75" customHeight="1" thickBot="1"/>
    <row r="7126" ht="81.75" customHeight="1" thickBot="1"/>
    <row r="7127" ht="81.75" customHeight="1" thickBot="1"/>
    <row r="7128" ht="81.75" customHeight="1" thickBot="1"/>
    <row r="7129" ht="81.75" customHeight="1" thickBot="1"/>
    <row r="7130" ht="81.75" customHeight="1" thickBot="1"/>
    <row r="7131" ht="81.75" customHeight="1" thickBot="1"/>
    <row r="7132" ht="81.75" customHeight="1" thickBot="1"/>
    <row r="7133" ht="81.75" customHeight="1" thickBot="1"/>
    <row r="7134" ht="81.75" customHeight="1" thickBot="1"/>
    <row r="7135" ht="81.75" customHeight="1" thickBot="1"/>
    <row r="7136" ht="81.75" customHeight="1" thickBot="1"/>
    <row r="7137" ht="81.75" customHeight="1" thickBot="1"/>
    <row r="7138" ht="81.75" customHeight="1" thickBot="1"/>
    <row r="7139" ht="81.75" customHeight="1" thickBot="1"/>
    <row r="7140" ht="81.75" customHeight="1" thickBot="1"/>
    <row r="7141" ht="81.75" customHeight="1" thickBot="1"/>
    <row r="7142" ht="81.75" customHeight="1" thickBot="1"/>
    <row r="7143" ht="81.75" customHeight="1" thickBot="1"/>
    <row r="7144" ht="81.75" customHeight="1" thickBot="1"/>
    <row r="7145" ht="81.75" customHeight="1" thickBot="1"/>
    <row r="7146" ht="81.75" customHeight="1" thickBot="1"/>
    <row r="7147" ht="81.75" customHeight="1" thickBot="1"/>
    <row r="7148" ht="81.75" customHeight="1" thickBot="1"/>
    <row r="7149" ht="81.75" customHeight="1" thickBot="1"/>
    <row r="7150" ht="81.75" customHeight="1" thickBot="1"/>
    <row r="7151" ht="81.75" customHeight="1" thickBot="1"/>
    <row r="7152" ht="81.75" customHeight="1" thickBot="1"/>
    <row r="7153" ht="81.75" customHeight="1" thickBot="1"/>
    <row r="7154" ht="81.75" customHeight="1" thickBot="1"/>
    <row r="7155" ht="81.75" customHeight="1" thickBot="1"/>
    <row r="7156" ht="81.75" customHeight="1" thickBot="1"/>
    <row r="7157" ht="81.75" customHeight="1" thickBot="1"/>
    <row r="7158" ht="81.75" customHeight="1" thickBot="1"/>
    <row r="7159" ht="81.75" customHeight="1" thickBot="1"/>
    <row r="7160" ht="81.75" customHeight="1" thickBot="1"/>
    <row r="7161" ht="81.75" customHeight="1" thickBot="1"/>
    <row r="7162" ht="81.75" customHeight="1" thickBot="1"/>
    <row r="7163" ht="81.75" customHeight="1" thickBot="1"/>
    <row r="7164" ht="81.75" customHeight="1" thickBot="1"/>
    <row r="7165" ht="81.75" customHeight="1" thickBot="1"/>
    <row r="7166" ht="81.75" customHeight="1" thickBot="1"/>
    <row r="7167" ht="81.75" customHeight="1" thickBot="1"/>
    <row r="7168" ht="81.75" customHeight="1" thickBot="1"/>
    <row r="7169" ht="81.75" customHeight="1" thickBot="1"/>
    <row r="7170" ht="81.75" customHeight="1" thickBot="1"/>
    <row r="7171" ht="81.75" customHeight="1" thickBot="1"/>
    <row r="7172" ht="81.75" customHeight="1" thickBot="1"/>
    <row r="7173" ht="81.75" customHeight="1" thickBot="1"/>
    <row r="7174" ht="81.75" customHeight="1" thickBot="1"/>
    <row r="7175" ht="81.75" customHeight="1" thickBot="1"/>
    <row r="7176" ht="81.75" customHeight="1" thickBot="1"/>
    <row r="7177" ht="81.75" customHeight="1" thickBot="1"/>
    <row r="7178" ht="81.75" customHeight="1" thickBot="1"/>
    <row r="7179" ht="81.75" customHeight="1" thickBot="1"/>
    <row r="7180" ht="81.75" customHeight="1" thickBot="1"/>
    <row r="7181" ht="81.75" customHeight="1" thickBot="1"/>
    <row r="7182" ht="81.75" customHeight="1" thickBot="1"/>
    <row r="7183" ht="81.75" customHeight="1" thickBot="1"/>
    <row r="7184" ht="81.75" customHeight="1" thickBot="1"/>
    <row r="7185" ht="81.75" customHeight="1" thickBot="1"/>
    <row r="7186" ht="81.75" customHeight="1" thickBot="1"/>
    <row r="7187" ht="81.75" customHeight="1" thickBot="1"/>
    <row r="7188" ht="81.75" customHeight="1" thickBot="1"/>
    <row r="7189" ht="81.75" customHeight="1" thickBot="1"/>
    <row r="7190" ht="81.75" customHeight="1" thickBot="1"/>
    <row r="7191" ht="81.75" customHeight="1" thickBot="1"/>
    <row r="7192" ht="81.75" customHeight="1" thickBot="1"/>
    <row r="7193" ht="81.75" customHeight="1" thickBot="1"/>
    <row r="7194" ht="81.75" customHeight="1" thickBot="1"/>
    <row r="7195" ht="81.75" customHeight="1" thickBot="1"/>
    <row r="7196" ht="81.75" customHeight="1" thickBot="1"/>
    <row r="7197" ht="81.75" customHeight="1" thickBot="1"/>
    <row r="7198" ht="81.75" customHeight="1" thickBot="1"/>
    <row r="7199" ht="81.75" customHeight="1" thickBot="1"/>
    <row r="7200" ht="81.75" customHeight="1" thickBot="1"/>
    <row r="7201" ht="81.75" customHeight="1" thickBot="1"/>
    <row r="7202" ht="81.75" customHeight="1" thickBot="1"/>
    <row r="7203" ht="81.75" customHeight="1" thickBot="1"/>
    <row r="7204" ht="81.75" customHeight="1" thickBot="1"/>
    <row r="7205" ht="81.75" customHeight="1" thickBot="1"/>
    <row r="7206" ht="81.75" customHeight="1" thickBot="1"/>
    <row r="7207" ht="81.75" customHeight="1" thickBot="1"/>
    <row r="7208" ht="81.75" customHeight="1" thickBot="1"/>
    <row r="7209" ht="81.75" customHeight="1" thickBot="1"/>
    <row r="7210" ht="81.75" customHeight="1" thickBot="1"/>
    <row r="7211" ht="81.75" customHeight="1" thickBot="1"/>
    <row r="7212" ht="81.75" customHeight="1" thickBot="1"/>
    <row r="7213" ht="81.75" customHeight="1" thickBot="1"/>
    <row r="7214" ht="81.75" customHeight="1" thickBot="1"/>
    <row r="7215" ht="81.75" customHeight="1" thickBot="1"/>
    <row r="7216" ht="81.75" customHeight="1" thickBot="1"/>
    <row r="7217" ht="81.75" customHeight="1" thickBot="1"/>
    <row r="7218" ht="81.75" customHeight="1" thickBot="1"/>
    <row r="7219" ht="81.75" customHeight="1" thickBot="1"/>
    <row r="7220" ht="81.75" customHeight="1" thickBot="1"/>
    <row r="7221" ht="81.75" customHeight="1" thickBot="1"/>
    <row r="7222" ht="81.75" customHeight="1" thickBot="1"/>
    <row r="7223" ht="81.75" customHeight="1" thickBot="1"/>
    <row r="7224" ht="81.75" customHeight="1" thickBot="1"/>
    <row r="7225" ht="81.75" customHeight="1" thickBot="1"/>
    <row r="7226" ht="81.75" customHeight="1" thickBot="1"/>
    <row r="7227" ht="81.75" customHeight="1" thickBot="1"/>
    <row r="7228" ht="81.75" customHeight="1" thickBot="1"/>
    <row r="7229" ht="81.75" customHeight="1" thickBot="1"/>
    <row r="7230" ht="81.75" customHeight="1" thickBot="1"/>
    <row r="7231" ht="81.75" customHeight="1" thickBot="1"/>
    <row r="7232" ht="81.75" customHeight="1" thickBot="1"/>
    <row r="7233" ht="81.75" customHeight="1" thickBot="1"/>
    <row r="7234" ht="81.75" customHeight="1" thickBot="1"/>
    <row r="7235" ht="81.75" customHeight="1" thickBot="1"/>
    <row r="7236" ht="81.75" customHeight="1" thickBot="1"/>
    <row r="7237" ht="81.75" customHeight="1" thickBot="1"/>
    <row r="7238" ht="81.75" customHeight="1" thickBot="1"/>
    <row r="7239" ht="81.75" customHeight="1" thickBot="1"/>
    <row r="7240" ht="81.75" customHeight="1" thickBot="1"/>
    <row r="7241" ht="81.75" customHeight="1" thickBot="1"/>
    <row r="7242" ht="81.75" customHeight="1" thickBot="1"/>
    <row r="7243" ht="81.75" customHeight="1" thickBot="1"/>
    <row r="7244" ht="81.75" customHeight="1" thickBot="1"/>
    <row r="7245" ht="81.75" customHeight="1" thickBot="1"/>
    <row r="7246" ht="81.75" customHeight="1" thickBot="1"/>
    <row r="7247" ht="81.75" customHeight="1" thickBot="1"/>
    <row r="7248" ht="81.75" customHeight="1" thickBot="1"/>
    <row r="7249" ht="81.75" customHeight="1" thickBot="1"/>
    <row r="7250" ht="81.75" customHeight="1" thickBot="1"/>
    <row r="7251" ht="81.75" customHeight="1" thickBot="1"/>
    <row r="7252" ht="81.75" customHeight="1" thickBot="1"/>
    <row r="7253" ht="81.75" customHeight="1" thickBot="1"/>
    <row r="7254" ht="81.75" customHeight="1" thickBot="1"/>
    <row r="7255" ht="81.75" customHeight="1" thickBot="1"/>
    <row r="7256" ht="81.75" customHeight="1" thickBot="1"/>
    <row r="7257" ht="81.75" customHeight="1" thickBot="1"/>
    <row r="7258" ht="81.75" customHeight="1" thickBot="1"/>
    <row r="7259" ht="81.75" customHeight="1" thickBot="1"/>
    <row r="7260" ht="81.75" customHeight="1" thickBot="1"/>
    <row r="7261" ht="81.75" customHeight="1" thickBot="1"/>
    <row r="7262" ht="81.75" customHeight="1" thickBot="1"/>
    <row r="7263" ht="81.75" customHeight="1" thickBot="1"/>
    <row r="7264" ht="81.75" customHeight="1" thickBot="1"/>
    <row r="7265" ht="81.75" customHeight="1" thickBot="1"/>
    <row r="7266" ht="81.75" customHeight="1" thickBot="1"/>
    <row r="7267" ht="81.75" customHeight="1" thickBot="1"/>
    <row r="7268" ht="81.75" customHeight="1" thickBot="1"/>
    <row r="7269" ht="81.75" customHeight="1" thickBot="1"/>
    <row r="7270" ht="81.75" customHeight="1" thickBot="1"/>
    <row r="7271" ht="81.75" customHeight="1" thickBot="1"/>
    <row r="7272" ht="81.75" customHeight="1" thickBot="1"/>
    <row r="7273" ht="81.75" customHeight="1" thickBot="1"/>
    <row r="7274" ht="81.75" customHeight="1" thickBot="1"/>
    <row r="7275" ht="81.75" customHeight="1" thickBot="1"/>
    <row r="7276" ht="81.75" customHeight="1" thickBot="1"/>
    <row r="7277" ht="81.75" customHeight="1" thickBot="1"/>
    <row r="7278" ht="81.75" customHeight="1" thickBot="1"/>
    <row r="7279" ht="81.75" customHeight="1" thickBot="1"/>
    <row r="7280" ht="81.75" customHeight="1" thickBot="1"/>
    <row r="7281" ht="81.75" customHeight="1" thickBot="1"/>
    <row r="7282" ht="81.75" customHeight="1" thickBot="1"/>
    <row r="7283" ht="81.75" customHeight="1" thickBot="1"/>
    <row r="7284" ht="81.75" customHeight="1" thickBot="1"/>
    <row r="7285" ht="81.75" customHeight="1" thickBot="1"/>
    <row r="7286" ht="81.75" customHeight="1" thickBot="1"/>
    <row r="7287" ht="81.75" customHeight="1" thickBot="1"/>
    <row r="7288" ht="81.75" customHeight="1" thickBot="1"/>
    <row r="7289" ht="81.75" customHeight="1" thickBot="1"/>
    <row r="7290" ht="81.75" customHeight="1" thickBot="1"/>
    <row r="7291" ht="81.75" customHeight="1" thickBot="1"/>
    <row r="7292" ht="81.75" customHeight="1" thickBot="1"/>
    <row r="7293" ht="81.75" customHeight="1" thickBot="1"/>
    <row r="7294" ht="81.75" customHeight="1" thickBot="1"/>
    <row r="7295" ht="81.75" customHeight="1" thickBot="1"/>
    <row r="7296" ht="81.75" customHeight="1" thickBot="1"/>
    <row r="7297" ht="81.75" customHeight="1" thickBot="1"/>
    <row r="7298" ht="81.75" customHeight="1" thickBot="1"/>
    <row r="7299" ht="81.75" customHeight="1" thickBot="1"/>
    <row r="7300" ht="81.75" customHeight="1" thickBot="1"/>
    <row r="7301" ht="81.75" customHeight="1" thickBot="1"/>
    <row r="7302" ht="81.75" customHeight="1" thickBot="1"/>
    <row r="7303" ht="81.75" customHeight="1" thickBot="1"/>
    <row r="7304" ht="81.75" customHeight="1" thickBot="1"/>
    <row r="7305" ht="81.75" customHeight="1" thickBot="1"/>
    <row r="7306" ht="81.75" customHeight="1" thickBot="1"/>
    <row r="7307" ht="81.75" customHeight="1" thickBot="1"/>
    <row r="7308" ht="81.75" customHeight="1" thickBot="1"/>
    <row r="7309" ht="81.75" customHeight="1" thickBot="1"/>
    <row r="7310" ht="81.75" customHeight="1" thickBot="1"/>
    <row r="7311" ht="81.75" customHeight="1" thickBot="1"/>
    <row r="7312" ht="81.75" customHeight="1" thickBot="1"/>
    <row r="7313" ht="81.75" customHeight="1" thickBot="1"/>
    <row r="7314" ht="81.75" customHeight="1" thickBot="1"/>
    <row r="7315" ht="81.75" customHeight="1" thickBot="1"/>
    <row r="7316" ht="81.75" customHeight="1" thickBot="1"/>
    <row r="7317" ht="81.75" customHeight="1" thickBot="1"/>
    <row r="7318" ht="81.75" customHeight="1" thickBot="1"/>
    <row r="7319" ht="81.75" customHeight="1" thickBot="1"/>
    <row r="7320" ht="81.75" customHeight="1" thickBot="1"/>
    <row r="7321" ht="81.75" customHeight="1" thickBot="1"/>
    <row r="7322" ht="81.75" customHeight="1" thickBot="1"/>
    <row r="7323" ht="81.75" customHeight="1" thickBot="1"/>
    <row r="7324" ht="81.75" customHeight="1" thickBot="1"/>
    <row r="7325" ht="81.75" customHeight="1" thickBot="1"/>
    <row r="7326" ht="81.75" customHeight="1" thickBot="1"/>
    <row r="7327" ht="81.75" customHeight="1" thickBot="1"/>
    <row r="7328" ht="81.75" customHeight="1" thickBot="1"/>
    <row r="7329" ht="81.75" customHeight="1" thickBot="1"/>
    <row r="7330" ht="81.75" customHeight="1" thickBot="1"/>
    <row r="7331" ht="81.75" customHeight="1" thickBot="1"/>
    <row r="7332" ht="81.75" customHeight="1" thickBot="1"/>
    <row r="7333" ht="81.75" customHeight="1" thickBot="1"/>
    <row r="7334" ht="81.75" customHeight="1" thickBot="1"/>
    <row r="7335" ht="81.75" customHeight="1" thickBot="1"/>
    <row r="7336" ht="81.75" customHeight="1" thickBot="1"/>
    <row r="7337" ht="81.75" customHeight="1" thickBot="1"/>
    <row r="7338" ht="81.75" customHeight="1" thickBot="1"/>
    <row r="7339" ht="81.75" customHeight="1" thickBot="1"/>
    <row r="7340" ht="81.75" customHeight="1" thickBot="1"/>
    <row r="7341" ht="81.75" customHeight="1" thickBot="1"/>
    <row r="7342" ht="81.75" customHeight="1" thickBot="1"/>
    <row r="7343" ht="81.75" customHeight="1" thickBot="1"/>
    <row r="7344" ht="81.75" customHeight="1" thickBot="1"/>
    <row r="7345" ht="81.75" customHeight="1" thickBot="1"/>
    <row r="7346" ht="81.75" customHeight="1" thickBot="1"/>
    <row r="7347" ht="81.75" customHeight="1" thickBot="1"/>
    <row r="7348" ht="81.75" customHeight="1" thickBot="1"/>
    <row r="7349" ht="81.75" customHeight="1" thickBot="1"/>
    <row r="7350" ht="81.75" customHeight="1" thickBot="1"/>
    <row r="7351" ht="81.75" customHeight="1" thickBot="1"/>
    <row r="7352" ht="81.75" customHeight="1" thickBot="1"/>
    <row r="7353" ht="81.75" customHeight="1" thickBot="1"/>
    <row r="7354" ht="81.75" customHeight="1" thickBot="1"/>
    <row r="7355" ht="81.75" customHeight="1" thickBot="1"/>
    <row r="7356" ht="81.75" customHeight="1" thickBot="1"/>
    <row r="7357" ht="81.75" customHeight="1" thickBot="1"/>
    <row r="7358" ht="81.75" customHeight="1" thickBot="1"/>
    <row r="7359" ht="81.75" customHeight="1" thickBot="1"/>
    <row r="7360" ht="81.75" customHeight="1" thickBot="1"/>
    <row r="7361" ht="81.75" customHeight="1" thickBot="1"/>
    <row r="7362" ht="81.75" customHeight="1" thickBot="1"/>
    <row r="7363" ht="81.75" customHeight="1" thickBot="1"/>
    <row r="7364" ht="81.75" customHeight="1" thickBot="1"/>
    <row r="7365" ht="81.75" customHeight="1" thickBot="1"/>
    <row r="7366" ht="81.75" customHeight="1" thickBot="1"/>
    <row r="7367" ht="81.75" customHeight="1" thickBot="1"/>
    <row r="7368" ht="81.75" customHeight="1" thickBot="1"/>
    <row r="7369" ht="81.75" customHeight="1" thickBot="1"/>
    <row r="7370" ht="81.75" customHeight="1" thickBot="1"/>
    <row r="7371" ht="81.75" customHeight="1" thickBot="1"/>
    <row r="7372" ht="81.75" customHeight="1" thickBot="1"/>
    <row r="7373" ht="81.75" customHeight="1" thickBot="1"/>
    <row r="7374" ht="81.75" customHeight="1" thickBot="1"/>
    <row r="7375" ht="81.75" customHeight="1" thickBot="1"/>
    <row r="7376" ht="81.75" customHeight="1" thickBot="1"/>
    <row r="7377" ht="81.75" customHeight="1" thickBot="1"/>
    <row r="7378" ht="81.75" customHeight="1" thickBot="1"/>
    <row r="7379" ht="81.75" customHeight="1" thickBot="1"/>
    <row r="7380" ht="81.75" customHeight="1" thickBot="1"/>
    <row r="7381" ht="81.75" customHeight="1" thickBot="1"/>
    <row r="7382" ht="81.75" customHeight="1" thickBot="1"/>
    <row r="7383" ht="81.75" customHeight="1" thickBot="1"/>
    <row r="7384" ht="81.75" customHeight="1" thickBot="1"/>
    <row r="7385" ht="81.75" customHeight="1" thickBot="1"/>
    <row r="7386" ht="81.75" customHeight="1" thickBot="1"/>
    <row r="7387" ht="81.75" customHeight="1" thickBot="1"/>
    <row r="7388" ht="81.75" customHeight="1" thickBot="1"/>
    <row r="7389" ht="81.75" customHeight="1" thickBot="1"/>
    <row r="7390" ht="81.75" customHeight="1" thickBot="1"/>
    <row r="7391" ht="81.75" customHeight="1" thickBot="1"/>
    <row r="7392" ht="81.75" customHeight="1" thickBot="1"/>
    <row r="7393" ht="81.75" customHeight="1" thickBot="1"/>
    <row r="7394" ht="81.75" customHeight="1" thickBot="1"/>
    <row r="7395" ht="81.75" customHeight="1" thickBot="1"/>
    <row r="7396" ht="81.75" customHeight="1" thickBot="1"/>
    <row r="7397" ht="81.75" customHeight="1"/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S251"/>
  <sheetViews>
    <sheetView rightToLeft="1" topLeftCell="A34" zoomScaleNormal="100" workbookViewId="0">
      <selection activeCell="J59" sqref="J59"/>
    </sheetView>
  </sheetViews>
  <sheetFormatPr defaultRowHeight="14.25"/>
  <cols>
    <col min="1" max="1" width="0.875" customWidth="1"/>
    <col min="2" max="2" width="9" customWidth="1"/>
    <col min="3" max="3" width="8.25" customWidth="1"/>
    <col min="4" max="4" width="2.5" customWidth="1"/>
    <col min="5" max="5" width="9.5" bestFit="1" customWidth="1"/>
    <col min="6" max="6" width="10.625" customWidth="1"/>
    <col min="7" max="7" width="3.125" customWidth="1"/>
    <col min="8" max="8" width="0.875" customWidth="1"/>
    <col min="9" max="10" width="9" customWidth="1"/>
    <col min="11" max="11" width="3" customWidth="1"/>
    <col min="12" max="12" width="9.5" customWidth="1"/>
    <col min="13" max="13" width="10.625" customWidth="1"/>
    <col min="17" max="17" width="7.25" customWidth="1"/>
  </cols>
  <sheetData>
    <row r="1" spans="1:19" ht="12.95" customHeight="1">
      <c r="A1" s="13"/>
      <c r="B1" s="41" t="s">
        <v>0</v>
      </c>
      <c r="C1" s="41"/>
      <c r="D1" s="41"/>
      <c r="E1" s="41"/>
      <c r="F1" s="14"/>
      <c r="G1" s="8"/>
      <c r="H1" s="13"/>
      <c r="I1" s="41" t="s">
        <v>0</v>
      </c>
      <c r="J1" s="41"/>
      <c r="K1" s="41"/>
      <c r="L1" s="41"/>
      <c r="M1" s="14"/>
    </row>
    <row r="2" spans="1:19" ht="12.95" customHeight="1">
      <c r="A2" s="15"/>
      <c r="B2" s="40" t="s">
        <v>1</v>
      </c>
      <c r="C2" s="40"/>
      <c r="D2" s="40"/>
      <c r="E2" s="40"/>
      <c r="F2" s="16"/>
      <c r="G2" s="9"/>
      <c r="H2" s="15"/>
      <c r="I2" s="40" t="s">
        <v>1</v>
      </c>
      <c r="J2" s="40"/>
      <c r="K2" s="40"/>
      <c r="L2" s="40"/>
      <c r="M2" s="16"/>
    </row>
    <row r="3" spans="1:19" ht="12.95" customHeight="1">
      <c r="A3" s="15"/>
      <c r="B3" s="40" t="s">
        <v>6</v>
      </c>
      <c r="C3" s="40"/>
      <c r="D3" s="40"/>
      <c r="E3" s="40"/>
      <c r="F3" s="16"/>
      <c r="G3" s="2"/>
      <c r="H3" s="15"/>
      <c r="I3" s="40" t="s">
        <v>6</v>
      </c>
      <c r="J3" s="40"/>
      <c r="K3" s="40"/>
      <c r="L3" s="40"/>
      <c r="M3" s="16"/>
      <c r="Q3" s="22" t="s">
        <v>8</v>
      </c>
    </row>
    <row r="4" spans="1:19" ht="20.100000000000001" customHeight="1">
      <c r="A4" s="15"/>
      <c r="B4" s="42" t="s">
        <v>509</v>
      </c>
      <c r="C4" s="42"/>
      <c r="D4" s="42"/>
      <c r="E4" s="42"/>
      <c r="F4" s="16"/>
      <c r="G4" s="2"/>
      <c r="H4" s="15"/>
      <c r="I4" s="42" t="s">
        <v>509</v>
      </c>
      <c r="J4" s="42"/>
      <c r="K4" s="42"/>
      <c r="L4" s="42"/>
      <c r="M4" s="16"/>
      <c r="Q4" s="23">
        <v>1</v>
      </c>
    </row>
    <row r="5" spans="1:19" ht="13.5" customHeight="1">
      <c r="A5" s="15"/>
      <c r="B5" s="4" t="s">
        <v>4</v>
      </c>
      <c r="C5" s="12">
        <f>IFERROR(VLOOKUP($Q$4,list!$A$2:$K$3000,2,FALSE),"")</f>
        <v>2396</v>
      </c>
      <c r="D5" s="12"/>
      <c r="E5" s="12"/>
      <c r="F5" s="38"/>
      <c r="G5" s="2"/>
      <c r="H5" s="15"/>
      <c r="I5" s="4" t="s">
        <v>4</v>
      </c>
      <c r="J5" s="37">
        <f>IFERROR(VLOOKUP($Q$5,list!$A$2:$K$3000,2,FALSE),"")</f>
        <v>67099</v>
      </c>
      <c r="K5" s="37"/>
      <c r="L5" s="37"/>
      <c r="M5" s="38"/>
      <c r="Q5" s="23">
        <f>Q4+1</f>
        <v>2</v>
      </c>
    </row>
    <row r="6" spans="1:19" ht="13.5" customHeight="1">
      <c r="A6" s="15"/>
      <c r="B6" s="4" t="s">
        <v>2</v>
      </c>
      <c r="C6" s="37" t="str">
        <f>IFERROR(CONCATENATE(VLOOKUP($Q$4,list!$A$2:$K$3000,4,FALSE)," ",VLOOKUP($Q$4,list!$A$2:$K$3000,5,FALSE)),"")</f>
        <v>دحمان بوشندوقة</v>
      </c>
      <c r="D6" s="37"/>
      <c r="E6" s="37"/>
      <c r="F6" s="38"/>
      <c r="G6" s="6"/>
      <c r="H6" s="15"/>
      <c r="I6" s="4" t="s">
        <v>2</v>
      </c>
      <c r="J6" s="37" t="str">
        <f>IFERROR(CONCATENATE(VLOOKUP($Q$5,list!$A$2:$K$3000,4,FALSE)," ",VLOOKUP($Q$5,list!$A$2:$K$3000,5,FALSE)),"")</f>
        <v>أحمد مهدي</v>
      </c>
      <c r="K6" s="37"/>
      <c r="L6" s="37"/>
      <c r="M6" s="38"/>
      <c r="Q6" s="23">
        <f>Q5+1</f>
        <v>3</v>
      </c>
    </row>
    <row r="7" spans="1:19" ht="13.5" customHeight="1">
      <c r="A7" s="15"/>
      <c r="B7" s="4" t="s">
        <v>3</v>
      </c>
      <c r="C7" s="5" t="str">
        <f>VLOOKUP($Q$4,list!$A$2:$K$3000,6,FALSE)</f>
        <v>05/07/2001</v>
      </c>
      <c r="D7" s="4" t="s">
        <v>7</v>
      </c>
      <c r="E7" s="26" t="str">
        <f>VLOOKUP($Q$4,list!$A$2:$K$3000,7,FALSE)</f>
        <v>الزاوية العابدية</v>
      </c>
      <c r="F7" s="38"/>
      <c r="G7" s="3"/>
      <c r="H7" s="15"/>
      <c r="I7" s="4" t="s">
        <v>3</v>
      </c>
      <c r="J7" s="5" t="str">
        <f>VLOOKUP($Q$5,list!$A$2:$K$3000,6,FALSE)</f>
        <v>28/03/2001</v>
      </c>
      <c r="K7" s="4" t="s">
        <v>7</v>
      </c>
      <c r="L7" s="26" t="str">
        <f>VLOOKUP($Q$5,list!$A$2:$K$3000,7,FALSE)</f>
        <v>تقرت</v>
      </c>
      <c r="M7" s="38"/>
      <c r="Q7" s="23">
        <f>Q6+1</f>
        <v>4</v>
      </c>
    </row>
    <row r="8" spans="1:19" ht="13.5" customHeight="1">
      <c r="A8" s="15"/>
      <c r="B8" s="4" t="s">
        <v>5</v>
      </c>
      <c r="C8" s="37" t="str">
        <f>VLOOKUP($Q$4,list!$A$2:$K$3000,8,FALSE)</f>
        <v>كهرباء السيارات</v>
      </c>
      <c r="D8" s="37"/>
      <c r="E8" s="37"/>
      <c r="F8" s="38"/>
      <c r="G8" s="3"/>
      <c r="H8" s="15"/>
      <c r="I8" s="4" t="s">
        <v>5</v>
      </c>
      <c r="J8" s="37" t="str">
        <f>VLOOKUP($Q$5,list!$A$2:$K$3000,8,FALSE)</f>
        <v>كهرباء السيارات</v>
      </c>
      <c r="K8" s="37"/>
      <c r="L8" s="37"/>
      <c r="M8" s="38"/>
      <c r="Q8" s="23">
        <f t="shared" ref="Q8:Q13" si="0">Q7+1</f>
        <v>5</v>
      </c>
    </row>
    <row r="9" spans="1:19" ht="13.5" customHeight="1">
      <c r="A9" s="15"/>
      <c r="B9" s="4" t="s">
        <v>221</v>
      </c>
      <c r="C9" s="5" t="str">
        <f>VLOOKUP($Q$4,list!$A$2:$K$3000,9,FALSE)</f>
        <v>2026-10-04</v>
      </c>
      <c r="D9" s="25" t="s">
        <v>17</v>
      </c>
      <c r="E9" s="5" t="str">
        <f>VLOOKUP($Q$4,list!$A$2:$K$3000,10,FALSE)</f>
        <v>2027-10-03</v>
      </c>
      <c r="F9" s="38"/>
      <c r="G9" s="3"/>
      <c r="H9" s="15"/>
      <c r="I9" s="4" t="str">
        <f>B9</f>
        <v>مدة التكوين من :</v>
      </c>
      <c r="J9" s="5" t="str">
        <f>VLOOKUP($Q$5,list!$A$2:$K$3000,9,FALSE)</f>
        <v>2026-10-04</v>
      </c>
      <c r="K9" s="25" t="s">
        <v>17</v>
      </c>
      <c r="L9" s="5" t="str">
        <f>VLOOKUP($Q$5,list!$A$2:$K$3000,10,FALSE)</f>
        <v>2027-10-03</v>
      </c>
      <c r="M9" s="38"/>
      <c r="Q9" s="23">
        <f t="shared" si="0"/>
        <v>6</v>
      </c>
    </row>
    <row r="10" spans="1:19" ht="20.100000000000001" customHeight="1" thickBot="1">
      <c r="A10" s="17"/>
      <c r="B10" s="44" t="str">
        <f>"("&amp;C5&amp;")"</f>
        <v>(2396)</v>
      </c>
      <c r="C10" s="44"/>
      <c r="D10" s="44"/>
      <c r="E10" s="44"/>
      <c r="F10" s="39"/>
      <c r="G10" s="3"/>
      <c r="H10" s="17"/>
      <c r="I10" s="18" t="str">
        <f>"("&amp;J5&amp;")"</f>
        <v>(67099)</v>
      </c>
      <c r="J10" s="19"/>
      <c r="K10" s="19"/>
      <c r="L10" s="19"/>
      <c r="M10" s="39"/>
      <c r="Q10" s="23">
        <f t="shared" si="0"/>
        <v>7</v>
      </c>
      <c r="S10" s="5" t="str">
        <f>INDEX(list!$A$1:$K$3000,MATCH($Q$4,list!$A$1:$A$3000,0),9)</f>
        <v>2026-10-04</v>
      </c>
    </row>
    <row r="11" spans="1:19" ht="9.9499999999999993" customHeight="1" thickBot="1">
      <c r="B11" s="7"/>
      <c r="C11" s="7"/>
      <c r="G11" s="3"/>
      <c r="H11" s="10"/>
      <c r="I11" s="10"/>
      <c r="J11" s="10"/>
      <c r="Q11" s="23">
        <f t="shared" si="0"/>
        <v>8</v>
      </c>
    </row>
    <row r="12" spans="1:19" ht="13.5" customHeight="1">
      <c r="A12" s="13"/>
      <c r="B12" s="41" t="s">
        <v>0</v>
      </c>
      <c r="C12" s="41"/>
      <c r="D12" s="41"/>
      <c r="E12" s="41"/>
      <c r="F12" s="14"/>
      <c r="G12" s="8"/>
      <c r="H12" s="13"/>
      <c r="I12" s="41" t="s">
        <v>0</v>
      </c>
      <c r="J12" s="41"/>
      <c r="K12" s="41"/>
      <c r="L12" s="41"/>
      <c r="M12" s="14"/>
      <c r="Q12" s="23">
        <f t="shared" si="0"/>
        <v>9</v>
      </c>
    </row>
    <row r="13" spans="1:19" ht="13.5" customHeight="1">
      <c r="A13" s="15"/>
      <c r="B13" s="40" t="s">
        <v>1</v>
      </c>
      <c r="C13" s="40"/>
      <c r="D13" s="40"/>
      <c r="E13" s="40"/>
      <c r="F13" s="16"/>
      <c r="G13" s="9"/>
      <c r="H13" s="15"/>
      <c r="I13" s="40" t="s">
        <v>1</v>
      </c>
      <c r="J13" s="40"/>
      <c r="K13" s="40"/>
      <c r="L13" s="40"/>
      <c r="M13" s="16"/>
      <c r="Q13" s="23">
        <f t="shared" si="0"/>
        <v>10</v>
      </c>
    </row>
    <row r="14" spans="1:19" ht="13.5" customHeight="1">
      <c r="A14" s="15"/>
      <c r="B14" s="40" t="s">
        <v>6</v>
      </c>
      <c r="C14" s="40"/>
      <c r="D14" s="40"/>
      <c r="E14" s="40"/>
      <c r="F14" s="16"/>
      <c r="G14" s="2"/>
      <c r="H14" s="15"/>
      <c r="I14" s="40" t="s">
        <v>6</v>
      </c>
      <c r="J14" s="40"/>
      <c r="K14" s="40"/>
      <c r="L14" s="40"/>
      <c r="M14" s="16"/>
    </row>
    <row r="15" spans="1:19" ht="20.100000000000001" customHeight="1">
      <c r="A15" s="15"/>
      <c r="B15" s="42" t="s">
        <v>509</v>
      </c>
      <c r="C15" s="42"/>
      <c r="D15" s="42"/>
      <c r="E15" s="42"/>
      <c r="F15" s="16"/>
      <c r="G15" s="2"/>
      <c r="H15" s="15"/>
      <c r="I15" s="42" t="s">
        <v>509</v>
      </c>
      <c r="J15" s="42"/>
      <c r="K15" s="42"/>
      <c r="L15" s="42"/>
      <c r="M15" s="16"/>
    </row>
    <row r="16" spans="1:19" ht="13.5" customHeight="1">
      <c r="A16" s="15"/>
      <c r="B16" s="4" t="s">
        <v>4</v>
      </c>
      <c r="C16" s="12">
        <f>IFERROR(VLOOKUP($Q$6,list!$A$2:$K$3000,2,FALSE),"")</f>
        <v>477133</v>
      </c>
      <c r="D16" s="12"/>
      <c r="E16" s="12"/>
      <c r="F16" s="38"/>
      <c r="G16" s="2"/>
      <c r="H16" s="15"/>
      <c r="I16" s="4" t="s">
        <v>4</v>
      </c>
      <c r="J16" s="37">
        <f>IFERROR(VLOOKUP($Q$7,list!$A$2:$K$3000,2,FALSE),"")</f>
        <v>184194</v>
      </c>
      <c r="K16" s="37"/>
      <c r="L16" s="37"/>
      <c r="M16" s="38"/>
    </row>
    <row r="17" spans="1:13" ht="13.5" customHeight="1">
      <c r="A17" s="15"/>
      <c r="B17" s="4" t="s">
        <v>2</v>
      </c>
      <c r="C17" s="37" t="str">
        <f>IFERROR(CONCATENATE(VLOOKUP($Q$6,list!$A$2:$K$3000,4,FALSE)," ",VLOOKUP($Q$6,list!$A$2:$K$3000,5,FALSE)),"")</f>
        <v>عبد الكريم بن زازه</v>
      </c>
      <c r="D17" s="37"/>
      <c r="E17" s="37"/>
      <c r="F17" s="38"/>
      <c r="G17" s="6"/>
      <c r="H17" s="15"/>
      <c r="I17" s="4" t="s">
        <v>2</v>
      </c>
      <c r="J17" s="37" t="str">
        <f>IFERROR(CONCATENATE(VLOOKUP($Q$7,list!$A$2:$K$3000,4,FALSE)," ",VLOOKUP($Q$7,list!$A$2:$K$3000,5,FALSE)),"")</f>
        <v>عبد الجبار سلفاوي</v>
      </c>
      <c r="K17" s="37"/>
      <c r="L17" s="37"/>
      <c r="M17" s="38"/>
    </row>
    <row r="18" spans="1:13" ht="13.5" customHeight="1">
      <c r="A18" s="15"/>
      <c r="B18" s="4" t="s">
        <v>3</v>
      </c>
      <c r="C18" s="5" t="str">
        <f>VLOOKUP($Q$6,list!$A$2:$K$3000,6,FALSE)</f>
        <v>21/03/2004</v>
      </c>
      <c r="D18" s="4" t="s">
        <v>7</v>
      </c>
      <c r="E18" s="26" t="str">
        <f>VLOOKUP($Q$6,list!$A$2:$K$3000,7,FALSE)</f>
        <v>الطيبات</v>
      </c>
      <c r="F18" s="38"/>
      <c r="G18" s="3"/>
      <c r="H18" s="15"/>
      <c r="I18" s="4" t="s">
        <v>3</v>
      </c>
      <c r="J18" s="5" t="str">
        <f>VLOOKUP($Q$7,list!$A$2:$K$3000,6,FALSE)</f>
        <v>10/12/2005</v>
      </c>
      <c r="K18" s="4" t="s">
        <v>7</v>
      </c>
      <c r="L18" s="26" t="str">
        <f>VLOOKUP($Q$7,list!$A$2:$K$3000,7,FALSE)</f>
        <v>بني أسود</v>
      </c>
      <c r="M18" s="38"/>
    </row>
    <row r="19" spans="1:13" ht="13.5" customHeight="1">
      <c r="A19" s="15"/>
      <c r="B19" s="4" t="s">
        <v>5</v>
      </c>
      <c r="C19" s="45" t="str">
        <f>VLOOKUP($Q$6,list!$A$2:$K$3000,8,FALSE)</f>
        <v>كهرباء السيارات</v>
      </c>
      <c r="D19" s="45"/>
      <c r="E19" s="45"/>
      <c r="F19" s="38"/>
      <c r="G19" s="3"/>
      <c r="H19" s="15"/>
      <c r="I19" s="4" t="s">
        <v>5</v>
      </c>
      <c r="J19" s="37" t="str">
        <f>VLOOKUP($Q$7,list!$A$2:$K$3000,8,FALSE)</f>
        <v>كهرباء السيارات</v>
      </c>
      <c r="K19" s="37"/>
      <c r="L19" s="37"/>
      <c r="M19" s="38"/>
    </row>
    <row r="20" spans="1:13" ht="13.5" customHeight="1">
      <c r="A20" s="15"/>
      <c r="B20" s="4" t="str">
        <f>B9</f>
        <v>مدة التكوين من :</v>
      </c>
      <c r="C20" s="5" t="str">
        <f>VLOOKUP($Q$6,list!$A$2:$K$3000,9,FALSE)</f>
        <v>2026-10-04</v>
      </c>
      <c r="D20" s="25" t="s">
        <v>17</v>
      </c>
      <c r="E20" s="5" t="str">
        <f>VLOOKUP($Q$6,list!$A$2:$K$3000,10,FALSE)</f>
        <v>2027-10-03</v>
      </c>
      <c r="F20" s="38"/>
      <c r="G20" s="3"/>
      <c r="H20" s="15"/>
      <c r="I20" s="4" t="str">
        <f>B9</f>
        <v>مدة التكوين من :</v>
      </c>
      <c r="J20" s="5" t="str">
        <f>VLOOKUP($Q$7,list!$A$2:$K$3000,9,FALSE)</f>
        <v>2026-10-04</v>
      </c>
      <c r="K20" s="25" t="s">
        <v>17</v>
      </c>
      <c r="L20" s="5" t="str">
        <f>VLOOKUP($Q$7,list!$A$2:$K$3000,10,FALSE)</f>
        <v>2027-10-03</v>
      </c>
      <c r="M20" s="38"/>
    </row>
    <row r="21" spans="1:13" ht="20.100000000000001" customHeight="1" thickBot="1">
      <c r="A21" s="17"/>
      <c r="B21" s="18" t="str">
        <f>"("&amp;C16&amp;")"</f>
        <v>(477133)</v>
      </c>
      <c r="C21" s="19"/>
      <c r="D21" s="19"/>
      <c r="E21" s="19"/>
      <c r="F21" s="39"/>
      <c r="G21" s="3"/>
      <c r="H21" s="17"/>
      <c r="I21" s="18" t="str">
        <f>"("&amp;J16&amp;")"</f>
        <v>(184194)</v>
      </c>
      <c r="J21" s="19"/>
      <c r="K21" s="19"/>
      <c r="L21" s="19"/>
      <c r="M21" s="39"/>
    </row>
    <row r="22" spans="1:13" ht="9.9499999999999993" customHeight="1" thickBot="1">
      <c r="B22" s="3"/>
      <c r="C22" s="46"/>
      <c r="D22" s="46"/>
      <c r="E22" s="46"/>
      <c r="G22" s="3"/>
      <c r="H22" s="11"/>
      <c r="I22" s="11"/>
      <c r="J22" s="11"/>
    </row>
    <row r="23" spans="1:13" ht="13.5" customHeight="1">
      <c r="A23" s="13"/>
      <c r="B23" s="41" t="s">
        <v>0</v>
      </c>
      <c r="C23" s="41"/>
      <c r="D23" s="41"/>
      <c r="E23" s="41"/>
      <c r="F23" s="14"/>
      <c r="G23" s="8"/>
      <c r="H23" s="13"/>
      <c r="I23" s="41" t="s">
        <v>0</v>
      </c>
      <c r="J23" s="41"/>
      <c r="K23" s="41"/>
      <c r="L23" s="41"/>
      <c r="M23" s="14"/>
    </row>
    <row r="24" spans="1:13" ht="13.5" customHeight="1">
      <c r="A24" s="15"/>
      <c r="B24" s="40" t="s">
        <v>1</v>
      </c>
      <c r="C24" s="40"/>
      <c r="D24" s="40"/>
      <c r="E24" s="40"/>
      <c r="F24" s="16"/>
      <c r="G24" s="9"/>
      <c r="H24" s="15"/>
      <c r="I24" s="40" t="s">
        <v>1</v>
      </c>
      <c r="J24" s="40"/>
      <c r="K24" s="40"/>
      <c r="L24" s="40"/>
      <c r="M24" s="16"/>
    </row>
    <row r="25" spans="1:13" ht="13.5" customHeight="1">
      <c r="A25" s="15"/>
      <c r="B25" s="40" t="s">
        <v>6</v>
      </c>
      <c r="C25" s="40"/>
      <c r="D25" s="40"/>
      <c r="E25" s="40"/>
      <c r="F25" s="16"/>
      <c r="G25" s="2"/>
      <c r="H25" s="15"/>
      <c r="I25" s="40" t="s">
        <v>6</v>
      </c>
      <c r="J25" s="40"/>
      <c r="K25" s="40"/>
      <c r="L25" s="40"/>
      <c r="M25" s="16"/>
    </row>
    <row r="26" spans="1:13" ht="20.100000000000001" customHeight="1">
      <c r="A26" s="15"/>
      <c r="B26" s="42" t="s">
        <v>509</v>
      </c>
      <c r="C26" s="42"/>
      <c r="D26" s="42"/>
      <c r="E26" s="42"/>
      <c r="F26" s="16"/>
      <c r="G26" s="2"/>
      <c r="H26" s="15"/>
      <c r="I26" s="42" t="s">
        <v>509</v>
      </c>
      <c r="J26" s="42"/>
      <c r="K26" s="42"/>
      <c r="L26" s="42"/>
      <c r="M26" s="16"/>
    </row>
    <row r="27" spans="1:13" ht="13.5" customHeight="1">
      <c r="A27" s="15"/>
      <c r="B27" s="4" t="s">
        <v>4</v>
      </c>
      <c r="C27" s="12">
        <f>IFERROR(VLOOKUP($Q$8,list!$A$2:$K$3000,2,FALSE),"")</f>
        <v>472920</v>
      </c>
      <c r="D27" s="12"/>
      <c r="E27" s="12"/>
      <c r="F27" s="38"/>
      <c r="G27" s="2"/>
      <c r="H27" s="15"/>
      <c r="I27" s="4" t="s">
        <v>4</v>
      </c>
      <c r="J27" s="37">
        <f>IFERROR(VLOOKUP($Q$9,list!$A$2:$K$3000,2,FALSE),"")</f>
        <v>679413</v>
      </c>
      <c r="K27" s="37"/>
      <c r="L27" s="37"/>
      <c r="M27" s="38"/>
    </row>
    <row r="28" spans="1:13" ht="13.5" customHeight="1">
      <c r="A28" s="15"/>
      <c r="B28" s="4" t="s">
        <v>2</v>
      </c>
      <c r="C28" s="37" t="str">
        <f>IFERROR(CONCATENATE(VLOOKUP($Q$8,list!$A$2:$K$3000,4,FALSE)," ",VLOOKUP($Q$8,list!$A$2:$K$3000,5,FALSE)),"")</f>
        <v>عثمان بالحسين</v>
      </c>
      <c r="D28" s="37"/>
      <c r="E28" s="37"/>
      <c r="F28" s="38"/>
      <c r="G28" s="6"/>
      <c r="H28" s="15"/>
      <c r="I28" s="4" t="s">
        <v>2</v>
      </c>
      <c r="J28" s="37" t="str">
        <f>IFERROR(CONCATENATE(VLOOKUP($Q$9,list!$A$2:$K$3000,4,FALSE)," ",VLOOKUP($Q$9,list!$A$2:$K$3000,5,FALSE)),"")</f>
        <v>محمد شاكر الله غيلاني</v>
      </c>
      <c r="K28" s="37"/>
      <c r="L28" s="37"/>
      <c r="M28" s="38"/>
    </row>
    <row r="29" spans="1:13" ht="13.5" customHeight="1">
      <c r="A29" s="15"/>
      <c r="B29" s="4" t="s">
        <v>3</v>
      </c>
      <c r="C29" s="5" t="str">
        <f>VLOOKUP($Q$8,list!$A$2:$K$3000,6,FALSE)</f>
        <v>09/12/2006</v>
      </c>
      <c r="D29" s="4" t="s">
        <v>7</v>
      </c>
      <c r="E29" s="26" t="str">
        <f>VLOOKUP($Q$8,list!$A$2:$K$3000,7,FALSE)</f>
        <v>تقرت</v>
      </c>
      <c r="F29" s="38"/>
      <c r="G29" s="3"/>
      <c r="H29" s="15"/>
      <c r="I29" s="4" t="s">
        <v>3</v>
      </c>
      <c r="J29" s="5" t="str">
        <f>VLOOKUP($Q$9,list!$A$2:$K$3000,6,FALSE)</f>
        <v>28/12/2006</v>
      </c>
      <c r="K29" s="4" t="s">
        <v>7</v>
      </c>
      <c r="L29" s="27" t="str">
        <f>VLOOKUP($Q$9,list!$A$2:$K$3000,7,FALSE)</f>
        <v>تقرت</v>
      </c>
      <c r="M29" s="38"/>
    </row>
    <row r="30" spans="1:13" ht="13.5" customHeight="1">
      <c r="A30" s="15"/>
      <c r="B30" s="4" t="s">
        <v>5</v>
      </c>
      <c r="C30" s="37" t="str">
        <f>VLOOKUP($Q$8,list!$A$2:$K$3000,8,FALSE)</f>
        <v>كهرباء السيارات</v>
      </c>
      <c r="D30" s="37"/>
      <c r="E30" s="37"/>
      <c r="F30" s="38"/>
      <c r="G30" s="3"/>
      <c r="H30" s="15"/>
      <c r="I30" s="4" t="s">
        <v>5</v>
      </c>
      <c r="J30" s="37" t="str">
        <f>VLOOKUP($Q$9,list!$A$2:$K$3000,8,FALSE)</f>
        <v>كهرباء السيارات</v>
      </c>
      <c r="K30" s="37"/>
      <c r="L30" s="37"/>
      <c r="M30" s="38"/>
    </row>
    <row r="31" spans="1:13" ht="13.5" customHeight="1">
      <c r="A31" s="15"/>
      <c r="B31" s="4" t="str">
        <f>B9</f>
        <v>مدة التكوين من :</v>
      </c>
      <c r="C31" s="5" t="str">
        <f>VLOOKUP($Q$8,list!$A$2:$K$3000,9,FALSE)</f>
        <v>2026-10-04</v>
      </c>
      <c r="D31" s="25" t="s">
        <v>17</v>
      </c>
      <c r="E31" s="5" t="str">
        <f>VLOOKUP($Q$8,list!$A$2:$K$3000,10,FALSE)</f>
        <v>2027-10-03</v>
      </c>
      <c r="F31" s="38"/>
      <c r="G31" s="3"/>
      <c r="H31" s="15"/>
      <c r="I31" s="4" t="str">
        <f>B9</f>
        <v>مدة التكوين من :</v>
      </c>
      <c r="J31" s="5" t="str">
        <f>VLOOKUP($Q$9,list!$A$2:$K$3000,9,FALSE)</f>
        <v>2026-10-04</v>
      </c>
      <c r="K31" s="25" t="s">
        <v>17</v>
      </c>
      <c r="L31" s="5" t="str">
        <f>VLOOKUP($Q$9,list!$A$2:$K$3000,10,FALSE)</f>
        <v>2027-10-03</v>
      </c>
      <c r="M31" s="38"/>
    </row>
    <row r="32" spans="1:13" ht="20.100000000000001" customHeight="1" thickBot="1">
      <c r="A32" s="17"/>
      <c r="B32" s="18" t="str">
        <f>"("&amp;C27&amp;")"</f>
        <v>(472920)</v>
      </c>
      <c r="C32" s="19"/>
      <c r="D32" s="19"/>
      <c r="E32" s="19"/>
      <c r="F32" s="39"/>
      <c r="G32" s="3"/>
      <c r="H32" s="17"/>
      <c r="I32" s="18" t="str">
        <f>"("&amp;J27&amp;")"</f>
        <v>(679413)</v>
      </c>
      <c r="J32" s="19"/>
      <c r="K32" s="19"/>
      <c r="L32" s="19"/>
      <c r="M32" s="39"/>
    </row>
    <row r="33" spans="1:13" ht="9.9499999999999993" customHeight="1" thickBot="1">
      <c r="B33" s="3"/>
      <c r="C33" s="43"/>
      <c r="D33" s="43"/>
      <c r="E33" s="43"/>
      <c r="G33" s="3"/>
      <c r="H33" s="10"/>
      <c r="I33" s="10"/>
      <c r="J33" s="10"/>
    </row>
    <row r="34" spans="1:13" ht="13.5" customHeight="1">
      <c r="A34" s="13"/>
      <c r="B34" s="41" t="s">
        <v>0</v>
      </c>
      <c r="C34" s="41"/>
      <c r="D34" s="41"/>
      <c r="E34" s="41"/>
      <c r="F34" s="14"/>
      <c r="G34" s="8"/>
      <c r="H34" s="13"/>
      <c r="I34" s="41" t="s">
        <v>0</v>
      </c>
      <c r="J34" s="41"/>
      <c r="K34" s="41"/>
      <c r="L34" s="41"/>
      <c r="M34" s="14"/>
    </row>
    <row r="35" spans="1:13" ht="13.5" customHeight="1">
      <c r="A35" s="15"/>
      <c r="B35" s="40" t="s">
        <v>1</v>
      </c>
      <c r="C35" s="40"/>
      <c r="D35" s="40"/>
      <c r="E35" s="40"/>
      <c r="F35" s="16"/>
      <c r="G35" s="9"/>
      <c r="H35" s="15"/>
      <c r="I35" s="40" t="s">
        <v>1</v>
      </c>
      <c r="J35" s="40"/>
      <c r="K35" s="40"/>
      <c r="L35" s="40"/>
      <c r="M35" s="16"/>
    </row>
    <row r="36" spans="1:13" ht="13.5" customHeight="1">
      <c r="A36" s="15"/>
      <c r="B36" s="40" t="s">
        <v>6</v>
      </c>
      <c r="C36" s="40"/>
      <c r="D36" s="40"/>
      <c r="E36" s="40"/>
      <c r="F36" s="16"/>
      <c r="G36" s="2"/>
      <c r="H36" s="15"/>
      <c r="I36" s="40" t="s">
        <v>6</v>
      </c>
      <c r="J36" s="40"/>
      <c r="K36" s="40"/>
      <c r="L36" s="40"/>
      <c r="M36" s="16"/>
    </row>
    <row r="37" spans="1:13" ht="20.100000000000001" customHeight="1">
      <c r="A37" s="15"/>
      <c r="B37" s="42" t="s">
        <v>509</v>
      </c>
      <c r="C37" s="42"/>
      <c r="D37" s="42"/>
      <c r="E37" s="42"/>
      <c r="F37" s="16"/>
      <c r="G37" s="2"/>
      <c r="H37" s="15"/>
      <c r="I37" s="42" t="s">
        <v>509</v>
      </c>
      <c r="J37" s="42"/>
      <c r="K37" s="42"/>
      <c r="L37" s="42"/>
      <c r="M37" s="16"/>
    </row>
    <row r="38" spans="1:13" ht="13.5" customHeight="1">
      <c r="A38" s="15"/>
      <c r="B38" s="4" t="s">
        <v>4</v>
      </c>
      <c r="C38" s="12">
        <f>IFERROR(VLOOKUP($Q$10,list!$A$2:$K$3000,2,FALSE),"")</f>
        <v>446305</v>
      </c>
      <c r="D38" s="12"/>
      <c r="E38" s="12"/>
      <c r="F38" s="38"/>
      <c r="G38" s="2"/>
      <c r="H38" s="15"/>
      <c r="I38" s="4" t="s">
        <v>4</v>
      </c>
      <c r="J38" s="37">
        <f>IFERROR(VLOOKUP($Q$11,list!$A$2:$K$3000,2,FALSE),"")</f>
        <v>543466</v>
      </c>
      <c r="K38" s="37"/>
      <c r="L38" s="37"/>
      <c r="M38" s="38"/>
    </row>
    <row r="39" spans="1:13" ht="13.5" customHeight="1">
      <c r="A39" s="15"/>
      <c r="B39" s="4" t="s">
        <v>2</v>
      </c>
      <c r="C39" s="37" t="str">
        <f>IFERROR(CONCATENATE(VLOOKUP($Q$10,list!$A$2:$K$3000,4,FALSE)," ",VLOOKUP($Q$10,list!$A$2:$K$3000,5,FALSE)),"")</f>
        <v>عبد  الواجد بوكلبة</v>
      </c>
      <c r="D39" s="37"/>
      <c r="E39" s="37"/>
      <c r="F39" s="38"/>
      <c r="G39" s="6"/>
      <c r="H39" s="15"/>
      <c r="I39" s="4" t="s">
        <v>2</v>
      </c>
      <c r="J39" s="37" t="str">
        <f>IFERROR(CONCATENATE(VLOOKUP($Q$11,list!$A$2:$K$3000,4,FALSE)," ",VLOOKUP($Q$11,list!$A$2:$K$3000,5,FALSE)),"")</f>
        <v>خالد بن شنة</v>
      </c>
      <c r="K39" s="37"/>
      <c r="L39" s="37"/>
      <c r="M39" s="38"/>
    </row>
    <row r="40" spans="1:13" ht="13.5" customHeight="1">
      <c r="A40" s="15"/>
      <c r="B40" s="4" t="s">
        <v>3</v>
      </c>
      <c r="C40" s="5" t="str">
        <f>VLOOKUP($Q$10,list!$A$2:$K$3000,6,FALSE)</f>
        <v>24/07/2007</v>
      </c>
      <c r="D40" s="4" t="s">
        <v>7</v>
      </c>
      <c r="E40" s="26" t="str">
        <f>VLOOKUP($Q$10,list!$A$2:$K$3000,7,FALSE)</f>
        <v>تبسبست</v>
      </c>
      <c r="F40" s="38"/>
      <c r="G40" s="3"/>
      <c r="H40" s="15"/>
      <c r="I40" s="4" t="s">
        <v>3</v>
      </c>
      <c r="J40" s="5" t="str">
        <f>VLOOKUP($Q$11,list!$A$2:$K$3000,6,FALSE)</f>
        <v>25/07/2007</v>
      </c>
      <c r="K40" s="4" t="s">
        <v>7</v>
      </c>
      <c r="L40" s="26" t="str">
        <f>VLOOKUP($Q$11,list!$A$2:$K$3000,7,FALSE)</f>
        <v>النزلة</v>
      </c>
      <c r="M40" s="38"/>
    </row>
    <row r="41" spans="1:13" ht="13.5" customHeight="1">
      <c r="A41" s="15"/>
      <c r="B41" s="4" t="s">
        <v>5</v>
      </c>
      <c r="C41" s="37" t="str">
        <f>VLOOKUP($Q$10,list!$A$2:$K$3000,8,FALSE)</f>
        <v>كهرباء السيارات</v>
      </c>
      <c r="D41" s="37"/>
      <c r="E41" s="37"/>
      <c r="F41" s="38"/>
      <c r="G41" s="3"/>
      <c r="H41" s="15"/>
      <c r="I41" s="4" t="s">
        <v>5</v>
      </c>
      <c r="J41" s="37" t="str">
        <f>VLOOKUP($Q$11,list!$A$2:$K$3000,8,FALSE)</f>
        <v>كهرباء السيارات</v>
      </c>
      <c r="K41" s="37"/>
      <c r="L41" s="37"/>
      <c r="M41" s="38"/>
    </row>
    <row r="42" spans="1:13" ht="13.5" customHeight="1">
      <c r="A42" s="15"/>
      <c r="B42" s="4" t="str">
        <f>B9</f>
        <v>مدة التكوين من :</v>
      </c>
      <c r="C42" s="5" t="str">
        <f>VLOOKUP($Q$10,list!$A$2:$K$3000,9,FALSE)</f>
        <v>2026-10-04</v>
      </c>
      <c r="D42" s="25" t="s">
        <v>17</v>
      </c>
      <c r="E42" s="5" t="str">
        <f>VLOOKUP($Q$10,list!$A$2:$K$3000,10,FALSE)</f>
        <v>2027-10-03</v>
      </c>
      <c r="F42" s="38"/>
      <c r="G42" s="3"/>
      <c r="H42" s="15"/>
      <c r="I42" s="4" t="str">
        <f>B9</f>
        <v>مدة التكوين من :</v>
      </c>
      <c r="J42" s="5" t="str">
        <f>VLOOKUP($Q$11,list!$A$2:$K$3000,9,FALSE)</f>
        <v>2026-10-04</v>
      </c>
      <c r="K42" s="25" t="s">
        <v>17</v>
      </c>
      <c r="L42" s="5" t="str">
        <f>VLOOKUP($Q$11,list!$A$2:$K$3000,10,FALSE)</f>
        <v>2027-10-03</v>
      </c>
      <c r="M42" s="38"/>
    </row>
    <row r="43" spans="1:13" ht="20.100000000000001" customHeight="1" thickBot="1">
      <c r="A43" s="17"/>
      <c r="B43" s="18" t="str">
        <f>"("&amp;C38&amp;")"</f>
        <v>(446305)</v>
      </c>
      <c r="C43" s="19"/>
      <c r="D43" s="19"/>
      <c r="E43" s="19"/>
      <c r="F43" s="39"/>
      <c r="G43" s="3"/>
      <c r="H43" s="17"/>
      <c r="I43" s="18" t="str">
        <f>"("&amp;J38&amp;")"</f>
        <v>(543466)</v>
      </c>
      <c r="J43" s="19"/>
      <c r="K43" s="19"/>
      <c r="L43" s="19"/>
      <c r="M43" s="39"/>
    </row>
    <row r="44" spans="1:13" ht="9.9499999999999993" customHeight="1" thickBot="1">
      <c r="B44" s="1"/>
      <c r="C44" s="1"/>
      <c r="D44" s="1"/>
      <c r="E44" s="1"/>
      <c r="F44" s="1"/>
      <c r="G44" s="1"/>
      <c r="H44" s="1"/>
      <c r="I44" s="1"/>
    </row>
    <row r="45" spans="1:13" ht="13.5" customHeight="1">
      <c r="A45" s="13"/>
      <c r="B45" s="41" t="s">
        <v>0</v>
      </c>
      <c r="C45" s="41"/>
      <c r="D45" s="41"/>
      <c r="E45" s="41"/>
      <c r="F45" s="14"/>
      <c r="G45" s="8"/>
      <c r="H45" s="13"/>
      <c r="I45" s="41" t="s">
        <v>0</v>
      </c>
      <c r="J45" s="41"/>
      <c r="K45" s="41"/>
      <c r="L45" s="41"/>
      <c r="M45" s="14"/>
    </row>
    <row r="46" spans="1:13" ht="13.5" customHeight="1">
      <c r="A46" s="15"/>
      <c r="B46" s="40" t="s">
        <v>1</v>
      </c>
      <c r="C46" s="40"/>
      <c r="D46" s="40"/>
      <c r="E46" s="40"/>
      <c r="F46" s="16"/>
      <c r="G46" s="9"/>
      <c r="H46" s="15"/>
      <c r="I46" s="40" t="s">
        <v>1</v>
      </c>
      <c r="J46" s="40"/>
      <c r="K46" s="40"/>
      <c r="L46" s="40"/>
      <c r="M46" s="16"/>
    </row>
    <row r="47" spans="1:13" ht="13.5" customHeight="1">
      <c r="A47" s="15"/>
      <c r="B47" s="40" t="s">
        <v>6</v>
      </c>
      <c r="C47" s="40"/>
      <c r="D47" s="40"/>
      <c r="E47" s="40"/>
      <c r="F47" s="16"/>
      <c r="G47" s="2"/>
      <c r="H47" s="15"/>
      <c r="I47" s="40" t="s">
        <v>6</v>
      </c>
      <c r="J47" s="40"/>
      <c r="K47" s="40"/>
      <c r="L47" s="40"/>
      <c r="M47" s="16"/>
    </row>
    <row r="48" spans="1:13" ht="20.100000000000001" customHeight="1">
      <c r="A48" s="15"/>
      <c r="B48" s="42" t="s">
        <v>509</v>
      </c>
      <c r="C48" s="42"/>
      <c r="D48" s="42"/>
      <c r="E48" s="42"/>
      <c r="F48" s="16"/>
      <c r="G48" s="2"/>
      <c r="H48" s="15"/>
      <c r="I48" s="42" t="s">
        <v>509</v>
      </c>
      <c r="J48" s="42"/>
      <c r="K48" s="42"/>
      <c r="L48" s="42"/>
      <c r="M48" s="16"/>
    </row>
    <row r="49" spans="1:13" ht="13.5" customHeight="1">
      <c r="A49" s="15"/>
      <c r="B49" s="4" t="s">
        <v>4</v>
      </c>
      <c r="C49" s="12">
        <f>IFERROR(VLOOKUP($Q$12,list!$A$2:$K$3000,2,FALSE),"")</f>
        <v>726281</v>
      </c>
      <c r="D49" s="12"/>
      <c r="E49" s="12"/>
      <c r="F49" s="38"/>
      <c r="G49" s="2"/>
      <c r="H49" s="15"/>
      <c r="I49" s="4" t="s">
        <v>4</v>
      </c>
      <c r="J49" s="37">
        <f>IFERROR(VLOOKUP($Q$13,list!$A$2:$K$3000,2,FALSE),"")</f>
        <v>691398</v>
      </c>
      <c r="K49" s="37"/>
      <c r="L49" s="37"/>
      <c r="M49" s="38"/>
    </row>
    <row r="50" spans="1:13" ht="13.5" customHeight="1">
      <c r="A50" s="15"/>
      <c r="B50" s="4" t="s">
        <v>2</v>
      </c>
      <c r="C50" s="37" t="str">
        <f>IFERROR(CONCATENATE(VLOOKUP($Q$12,list!$A$2:$K$3000,4,FALSE)," ",VLOOKUP($Q$12,list!$A$2:$K$3000,5,FALSE)),"")</f>
        <v>نورالدين عبعوب</v>
      </c>
      <c r="D50" s="37"/>
      <c r="E50" s="37"/>
      <c r="F50" s="38"/>
      <c r="G50" s="6"/>
      <c r="H50" s="15"/>
      <c r="I50" s="4" t="s">
        <v>2</v>
      </c>
      <c r="J50" s="37" t="str">
        <f>IFERROR(CONCATENATE(VLOOKUP($Q$13,list!$A$2:$K$3000,4,FALSE)," ",VLOOKUP($Q$13,list!$A$2:$K$3000,5,FALSE)),"")</f>
        <v>محمد ضياء الدين وقاد</v>
      </c>
      <c r="K50" s="37"/>
      <c r="L50" s="37"/>
      <c r="M50" s="38"/>
    </row>
    <row r="51" spans="1:13" ht="13.5" customHeight="1">
      <c r="A51" s="15"/>
      <c r="B51" s="4" t="s">
        <v>3</v>
      </c>
      <c r="C51" s="5" t="str">
        <f>VLOOKUP($Q$12,list!$A$2:$K$3000,6,FALSE)</f>
        <v>16/06/2007</v>
      </c>
      <c r="D51" s="4" t="s">
        <v>7</v>
      </c>
      <c r="E51" s="26" t="str">
        <f>VLOOKUP($Q$12,list!$A$2:$K$3000,7,FALSE)</f>
        <v>الزاوية العابدية</v>
      </c>
      <c r="F51" s="38"/>
      <c r="G51" s="3"/>
      <c r="H51" s="15"/>
      <c r="I51" s="4" t="s">
        <v>3</v>
      </c>
      <c r="J51" s="5" t="str">
        <f>VLOOKUP($Q$13,list!$A$2:$K$3000,6,FALSE)</f>
        <v>13/05/2007</v>
      </c>
      <c r="K51" s="4" t="s">
        <v>7</v>
      </c>
      <c r="L51" s="26" t="str">
        <f>VLOOKUP($Q$13,list!$A$2:$K$3000,7,FALSE)</f>
        <v>تقرت</v>
      </c>
      <c r="M51" s="38"/>
    </row>
    <row r="52" spans="1:13" ht="13.5" customHeight="1">
      <c r="A52" s="15"/>
      <c r="B52" s="4" t="s">
        <v>5</v>
      </c>
      <c r="C52" s="37" t="str">
        <f>VLOOKUP($Q$12,list!$A$2:$K$3000,8,FALSE)</f>
        <v>كهرباء السيارات</v>
      </c>
      <c r="D52" s="37"/>
      <c r="E52" s="37"/>
      <c r="F52" s="38"/>
      <c r="G52" s="3"/>
      <c r="H52" s="15"/>
      <c r="I52" s="4" t="s">
        <v>5</v>
      </c>
      <c r="J52" s="37" t="str">
        <f>VLOOKUP($Q$13,list!$A$2:$K$3000,8,FALSE)</f>
        <v>كهرباء السيارات</v>
      </c>
      <c r="K52" s="37"/>
      <c r="L52" s="37"/>
      <c r="M52" s="38"/>
    </row>
    <row r="53" spans="1:13" ht="13.5" customHeight="1">
      <c r="A53" s="15"/>
      <c r="B53" s="4" t="str">
        <f>B9</f>
        <v>مدة التكوين من :</v>
      </c>
      <c r="C53" s="5" t="str">
        <f>VLOOKUP($Q$12,list!$A$2:$K$3000,9,FALSE)</f>
        <v>2026-10-04</v>
      </c>
      <c r="D53" s="25" t="s">
        <v>17</v>
      </c>
      <c r="E53" s="5" t="str">
        <f>VLOOKUP($Q$12,list!$A$2:$K$3000,10,FALSE)</f>
        <v>2027-10-03</v>
      </c>
      <c r="F53" s="38"/>
      <c r="G53" s="3"/>
      <c r="H53" s="15"/>
      <c r="I53" s="4" t="str">
        <f>B9</f>
        <v>مدة التكوين من :</v>
      </c>
      <c r="J53" s="5" t="str">
        <f>VLOOKUP($Q$13,list!$A$2:$K$3000,9,FALSE)</f>
        <v>2026-10-04</v>
      </c>
      <c r="K53" s="25" t="s">
        <v>17</v>
      </c>
      <c r="L53" s="5" t="str">
        <f>VLOOKUP($Q$13,list!$A$2:$K$3000,10,FALSE)</f>
        <v>2027-10-03</v>
      </c>
      <c r="M53" s="38"/>
    </row>
    <row r="54" spans="1:13" ht="20.100000000000001" customHeight="1" thickBot="1">
      <c r="A54" s="17"/>
      <c r="B54" s="18" t="str">
        <f>"("&amp;C49&amp;")"</f>
        <v>(726281)</v>
      </c>
      <c r="C54" s="19"/>
      <c r="D54" s="19"/>
      <c r="E54" s="19"/>
      <c r="F54" s="39"/>
      <c r="G54" s="3"/>
      <c r="H54" s="17"/>
      <c r="I54" s="18" t="str">
        <f>"("&amp;J49&amp;")"</f>
        <v>(691398)</v>
      </c>
      <c r="J54" s="19"/>
      <c r="K54" s="19"/>
      <c r="L54" s="19"/>
      <c r="M54" s="39"/>
    </row>
    <row r="55" spans="1:13" ht="28.5" customHeight="1" thickBot="1">
      <c r="B55" s="1"/>
      <c r="C55" s="1"/>
      <c r="D55" s="1"/>
      <c r="E55" s="1"/>
      <c r="F55" s="1"/>
      <c r="G55" s="1"/>
      <c r="H55" s="1"/>
      <c r="I55" s="1"/>
    </row>
    <row r="56" spans="1:13" ht="13.5" customHeight="1">
      <c r="A56" s="13"/>
      <c r="B56" s="41"/>
      <c r="C56" s="41"/>
      <c r="D56" s="41"/>
      <c r="E56" s="41"/>
      <c r="F56" s="14"/>
      <c r="G56" s="1"/>
      <c r="H56" s="1"/>
      <c r="I56" s="1"/>
    </row>
    <row r="57" spans="1:13" ht="13.5" customHeight="1">
      <c r="A57" s="15"/>
      <c r="B57" s="40"/>
      <c r="C57" s="40"/>
      <c r="D57" s="40"/>
      <c r="E57" s="40"/>
      <c r="F57" s="16"/>
      <c r="G57" s="1"/>
      <c r="H57" s="1"/>
      <c r="I57" s="1"/>
    </row>
    <row r="58" spans="1:13" ht="13.5" customHeight="1">
      <c r="A58" s="15"/>
      <c r="B58" s="40"/>
      <c r="C58" s="40"/>
      <c r="D58" s="40"/>
      <c r="E58" s="40"/>
      <c r="F58" s="16"/>
      <c r="G58" s="1"/>
      <c r="H58" s="1"/>
      <c r="I58" s="1"/>
    </row>
    <row r="59" spans="1:13" ht="20.100000000000001" customHeight="1">
      <c r="A59" s="15"/>
      <c r="B59" s="42"/>
      <c r="C59" s="42"/>
      <c r="D59" s="42"/>
      <c r="E59" s="42"/>
      <c r="F59" s="16"/>
      <c r="G59" s="1"/>
      <c r="H59" s="1"/>
      <c r="I59" s="1"/>
    </row>
    <row r="60" spans="1:13" ht="13.5" customHeight="1">
      <c r="A60" s="15"/>
      <c r="B60" s="4"/>
      <c r="C60" s="12"/>
      <c r="D60" s="12"/>
      <c r="E60" s="12"/>
      <c r="F60" s="38"/>
      <c r="G60" s="1"/>
      <c r="H60" s="1"/>
      <c r="I60" s="1"/>
    </row>
    <row r="61" spans="1:13" ht="13.5" customHeight="1">
      <c r="A61" s="15"/>
      <c r="B61" s="4"/>
      <c r="C61" s="37"/>
      <c r="D61" s="37"/>
      <c r="E61" s="37"/>
      <c r="F61" s="38"/>
      <c r="G61" s="1"/>
      <c r="H61" s="1"/>
      <c r="I61" s="1"/>
    </row>
    <row r="62" spans="1:13" ht="13.5" customHeight="1">
      <c r="A62" s="15"/>
      <c r="B62" s="4"/>
      <c r="C62" s="5"/>
      <c r="D62" s="4"/>
      <c r="E62" s="26"/>
      <c r="F62" s="38"/>
      <c r="G62" s="1"/>
      <c r="H62" s="1"/>
      <c r="I62" s="1"/>
    </row>
    <row r="63" spans="1:13" ht="13.5" customHeight="1">
      <c r="A63" s="15"/>
      <c r="B63" s="4"/>
      <c r="C63" s="37"/>
      <c r="D63" s="37"/>
      <c r="E63" s="37"/>
      <c r="F63" s="38"/>
      <c r="G63" s="1"/>
      <c r="H63" s="1"/>
      <c r="I63" s="1"/>
    </row>
    <row r="64" spans="1:13" ht="13.5" customHeight="1">
      <c r="A64" s="15"/>
      <c r="B64" s="4"/>
      <c r="C64" s="5"/>
      <c r="D64" s="25"/>
      <c r="E64" s="5"/>
      <c r="F64" s="38"/>
      <c r="G64" s="1"/>
      <c r="H64" s="1"/>
      <c r="I64" s="1"/>
    </row>
    <row r="65" spans="1:9" ht="20.100000000000001" customHeight="1" thickBot="1">
      <c r="A65" s="17"/>
      <c r="B65" s="18"/>
      <c r="C65" s="19"/>
      <c r="D65" s="19"/>
      <c r="E65" s="19"/>
      <c r="F65" s="39"/>
      <c r="G65" s="1"/>
      <c r="H65" s="1"/>
      <c r="I65" s="1"/>
    </row>
    <row r="66" spans="1:9" ht="18">
      <c r="B66" s="1"/>
      <c r="C66" s="1"/>
      <c r="D66" s="1"/>
      <c r="E66" s="1"/>
      <c r="F66" s="1"/>
      <c r="G66" s="1"/>
      <c r="H66" s="1"/>
      <c r="I66" s="1"/>
    </row>
    <row r="67" spans="1:9" ht="18">
      <c r="B67" s="1"/>
      <c r="C67" s="1"/>
      <c r="D67" s="1"/>
      <c r="E67" s="1"/>
      <c r="F67" s="1"/>
      <c r="G67" s="1"/>
      <c r="H67" s="1"/>
      <c r="I67" s="1"/>
    </row>
    <row r="68" spans="1:9" ht="18">
      <c r="B68" s="1"/>
      <c r="C68" s="1"/>
      <c r="D68" s="1"/>
      <c r="E68" s="1"/>
      <c r="F68" s="1"/>
      <c r="G68" s="1"/>
      <c r="H68" s="1"/>
      <c r="I68" s="1"/>
    </row>
    <row r="69" spans="1:9" ht="18">
      <c r="B69" s="1"/>
      <c r="C69" s="1"/>
      <c r="D69" s="1"/>
      <c r="E69" s="1"/>
      <c r="F69" s="1"/>
      <c r="G69" s="1"/>
      <c r="H69" s="1"/>
      <c r="I69" s="1"/>
    </row>
    <row r="70" spans="1:9" ht="18">
      <c r="B70" s="1"/>
      <c r="C70" s="1"/>
      <c r="D70" s="1"/>
      <c r="E70" s="1"/>
      <c r="F70" s="1"/>
      <c r="G70" s="1"/>
      <c r="H70" s="1"/>
      <c r="I70" s="1"/>
    </row>
    <row r="71" spans="1:9" ht="18">
      <c r="B71" s="1"/>
      <c r="C71" s="1"/>
      <c r="D71" s="1"/>
      <c r="E71" s="1"/>
      <c r="F71" s="1"/>
      <c r="G71" s="1"/>
      <c r="H71" s="1"/>
      <c r="I71" s="1"/>
    </row>
    <row r="72" spans="1:9" ht="18">
      <c r="B72" s="1"/>
      <c r="C72" s="1"/>
      <c r="D72" s="1"/>
      <c r="E72" s="1"/>
      <c r="F72" s="1"/>
      <c r="G72" s="1"/>
      <c r="H72" s="1"/>
      <c r="I72" s="1"/>
    </row>
    <row r="73" spans="1:9" ht="18">
      <c r="B73" s="1"/>
      <c r="C73" s="1"/>
      <c r="D73" s="1"/>
      <c r="E73" s="1"/>
      <c r="F73" s="1"/>
      <c r="G73" s="1"/>
      <c r="H73" s="1"/>
      <c r="I73" s="1"/>
    </row>
    <row r="74" spans="1:9" ht="18">
      <c r="B74" s="1"/>
      <c r="C74" s="1"/>
      <c r="D74" s="1"/>
      <c r="E74" s="1"/>
      <c r="F74" s="1"/>
      <c r="G74" s="1"/>
      <c r="H74" s="1"/>
      <c r="I74" s="1"/>
    </row>
    <row r="75" spans="1:9" ht="18">
      <c r="B75" s="1"/>
      <c r="C75" s="1"/>
      <c r="D75" s="1"/>
      <c r="E75" s="1"/>
      <c r="F75" s="1"/>
      <c r="G75" s="1"/>
      <c r="H75" s="1"/>
      <c r="I75" s="1"/>
    </row>
    <row r="76" spans="1:9" ht="18">
      <c r="B76" s="1"/>
      <c r="C76" s="1"/>
      <c r="D76" s="1"/>
      <c r="E76" s="1"/>
      <c r="F76" s="1"/>
      <c r="G76" s="1"/>
      <c r="H76" s="1"/>
      <c r="I76" s="1"/>
    </row>
    <row r="77" spans="1:9" ht="18">
      <c r="B77" s="1"/>
      <c r="C77" s="1"/>
      <c r="D77" s="1"/>
      <c r="E77" s="1"/>
      <c r="F77" s="1"/>
      <c r="G77" s="1"/>
      <c r="H77" s="1"/>
      <c r="I77" s="1"/>
    </row>
    <row r="78" spans="1:9" ht="18">
      <c r="B78" s="1"/>
      <c r="C78" s="1"/>
      <c r="D78" s="1"/>
      <c r="E78" s="1"/>
      <c r="F78" s="1"/>
      <c r="G78" s="1"/>
      <c r="H78" s="1"/>
      <c r="I78" s="1"/>
    </row>
    <row r="79" spans="1:9" ht="18">
      <c r="B79" s="1"/>
      <c r="C79" s="1"/>
      <c r="D79" s="1"/>
      <c r="E79" s="1"/>
      <c r="F79" s="1"/>
      <c r="G79" s="1"/>
      <c r="H79" s="1"/>
      <c r="I79" s="1"/>
    </row>
    <row r="80" spans="1:9" ht="18">
      <c r="B80" s="1"/>
      <c r="C80" s="1"/>
      <c r="D80" s="1"/>
      <c r="E80" s="1"/>
      <c r="F80" s="1"/>
      <c r="G80" s="1"/>
      <c r="H80" s="1"/>
      <c r="I80" s="1"/>
    </row>
    <row r="81" spans="2:9" ht="18">
      <c r="B81" s="1"/>
      <c r="C81" s="1"/>
      <c r="D81" s="1"/>
      <c r="E81" s="1"/>
      <c r="F81" s="1"/>
      <c r="G81" s="1"/>
      <c r="H81" s="1"/>
      <c r="I81" s="1"/>
    </row>
    <row r="82" spans="2:9" ht="18">
      <c r="B82" s="1"/>
      <c r="C82" s="1"/>
      <c r="D82" s="1"/>
      <c r="E82" s="1"/>
      <c r="F82" s="1"/>
      <c r="G82" s="1"/>
      <c r="H82" s="1"/>
      <c r="I82" s="1"/>
    </row>
    <row r="83" spans="2:9" ht="18">
      <c r="B83" s="1"/>
      <c r="C83" s="1"/>
      <c r="D83" s="1"/>
      <c r="E83" s="1"/>
      <c r="F83" s="1"/>
      <c r="G83" s="1"/>
      <c r="H83" s="1"/>
      <c r="I83" s="1"/>
    </row>
    <row r="84" spans="2:9" ht="18">
      <c r="B84" s="1"/>
      <c r="C84" s="1"/>
      <c r="D84" s="1"/>
      <c r="E84" s="1"/>
      <c r="F84" s="1"/>
      <c r="G84" s="1"/>
      <c r="H84" s="1"/>
      <c r="I84" s="1"/>
    </row>
    <row r="85" spans="2:9" ht="18">
      <c r="B85" s="1"/>
      <c r="C85" s="1"/>
      <c r="D85" s="1"/>
      <c r="E85" s="1"/>
      <c r="F85" s="1"/>
      <c r="G85" s="1"/>
      <c r="H85" s="1"/>
      <c r="I85" s="1"/>
    </row>
    <row r="86" spans="2:9" ht="18">
      <c r="B86" s="1"/>
      <c r="C86" s="1"/>
      <c r="D86" s="1"/>
      <c r="E86" s="1"/>
      <c r="F86" s="1"/>
      <c r="G86" s="1"/>
      <c r="H86" s="1"/>
      <c r="I86" s="1"/>
    </row>
    <row r="87" spans="2:9" ht="18">
      <c r="B87" s="1"/>
      <c r="C87" s="1"/>
      <c r="D87" s="1"/>
      <c r="E87" s="1"/>
      <c r="F87" s="1"/>
      <c r="G87" s="1"/>
      <c r="H87" s="1"/>
      <c r="I87" s="1"/>
    </row>
    <row r="88" spans="2:9" ht="18">
      <c r="B88" s="1"/>
      <c r="C88" s="1"/>
      <c r="D88" s="1"/>
      <c r="E88" s="1"/>
      <c r="F88" s="1"/>
      <c r="G88" s="1"/>
      <c r="H88" s="1"/>
      <c r="I88" s="1"/>
    </row>
    <row r="89" spans="2:9" ht="18">
      <c r="B89" s="1"/>
      <c r="C89" s="1"/>
      <c r="D89" s="1"/>
      <c r="E89" s="1"/>
      <c r="F89" s="1"/>
      <c r="G89" s="1"/>
      <c r="H89" s="1"/>
      <c r="I89" s="1"/>
    </row>
    <row r="90" spans="2:9" ht="18">
      <c r="B90" s="1"/>
      <c r="C90" s="1"/>
      <c r="D90" s="1"/>
      <c r="E90" s="1"/>
      <c r="F90" s="1"/>
      <c r="G90" s="1"/>
      <c r="H90" s="1"/>
      <c r="I90" s="1"/>
    </row>
    <row r="91" spans="2:9" ht="18">
      <c r="B91" s="1"/>
      <c r="C91" s="1"/>
      <c r="D91" s="1"/>
      <c r="E91" s="1"/>
      <c r="F91" s="1"/>
      <c r="G91" s="1"/>
      <c r="H91" s="1"/>
      <c r="I91" s="1"/>
    </row>
    <row r="92" spans="2:9" ht="18">
      <c r="B92" s="1"/>
      <c r="C92" s="1"/>
      <c r="D92" s="1"/>
      <c r="E92" s="1"/>
      <c r="F92" s="1"/>
      <c r="G92" s="1"/>
      <c r="H92" s="1"/>
      <c r="I92" s="1"/>
    </row>
    <row r="93" spans="2:9" ht="18">
      <c r="B93" s="1"/>
      <c r="C93" s="1"/>
      <c r="D93" s="1"/>
      <c r="E93" s="1"/>
      <c r="F93" s="1"/>
      <c r="G93" s="1"/>
      <c r="H93" s="1"/>
      <c r="I93" s="1"/>
    </row>
    <row r="94" spans="2:9" ht="18">
      <c r="B94" s="1"/>
      <c r="C94" s="1"/>
      <c r="D94" s="1"/>
      <c r="E94" s="1"/>
      <c r="F94" s="1"/>
      <c r="G94" s="1"/>
      <c r="H94" s="1"/>
      <c r="I94" s="1"/>
    </row>
    <row r="95" spans="2:9" ht="18">
      <c r="B95" s="1"/>
      <c r="C95" s="1"/>
      <c r="D95" s="1"/>
      <c r="E95" s="1"/>
      <c r="F95" s="1"/>
      <c r="G95" s="1"/>
      <c r="H95" s="1"/>
      <c r="I95" s="1"/>
    </row>
    <row r="96" spans="2:9" ht="18">
      <c r="B96" s="1"/>
      <c r="C96" s="1"/>
      <c r="D96" s="1"/>
      <c r="E96" s="1"/>
      <c r="F96" s="1"/>
      <c r="G96" s="1"/>
      <c r="H96" s="1"/>
      <c r="I96" s="1"/>
    </row>
    <row r="97" spans="2:9" ht="18">
      <c r="B97" s="1"/>
      <c r="C97" s="1"/>
      <c r="D97" s="1"/>
      <c r="E97" s="1"/>
      <c r="F97" s="1"/>
      <c r="G97" s="1"/>
      <c r="H97" s="1"/>
      <c r="I97" s="1"/>
    </row>
    <row r="98" spans="2:9" ht="18">
      <c r="B98" s="1"/>
      <c r="C98" s="1"/>
      <c r="D98" s="1"/>
      <c r="E98" s="1"/>
      <c r="F98" s="1"/>
      <c r="G98" s="1"/>
      <c r="H98" s="1"/>
      <c r="I98" s="1"/>
    </row>
    <row r="99" spans="2:9" ht="18">
      <c r="B99" s="1"/>
      <c r="C99" s="1"/>
      <c r="D99" s="1"/>
      <c r="E99" s="1"/>
      <c r="F99" s="1"/>
      <c r="G99" s="1"/>
      <c r="H99" s="1"/>
      <c r="I99" s="1"/>
    </row>
    <row r="100" spans="2:9" ht="18">
      <c r="B100" s="1"/>
      <c r="C100" s="1"/>
      <c r="D100" s="1"/>
      <c r="E100" s="1"/>
      <c r="F100" s="1"/>
      <c r="G100" s="1"/>
      <c r="H100" s="1"/>
      <c r="I100" s="1"/>
    </row>
    <row r="101" spans="2:9" ht="18">
      <c r="B101" s="1"/>
      <c r="C101" s="1"/>
      <c r="D101" s="1"/>
      <c r="E101" s="1"/>
      <c r="F101" s="1"/>
      <c r="G101" s="1"/>
      <c r="H101" s="1"/>
      <c r="I101" s="1"/>
    </row>
    <row r="102" spans="2:9" ht="18">
      <c r="B102" s="1"/>
      <c r="C102" s="1"/>
      <c r="D102" s="1"/>
      <c r="E102" s="1"/>
      <c r="F102" s="1"/>
      <c r="G102" s="1"/>
      <c r="H102" s="1"/>
      <c r="I102" s="1"/>
    </row>
    <row r="103" spans="2:9" ht="18">
      <c r="B103" s="1"/>
      <c r="C103" s="1"/>
      <c r="D103" s="1"/>
      <c r="E103" s="1"/>
      <c r="F103" s="1"/>
      <c r="G103" s="1"/>
      <c r="H103" s="1"/>
      <c r="I103" s="1"/>
    </row>
    <row r="104" spans="2:9" ht="18">
      <c r="B104" s="1"/>
      <c r="C104" s="1"/>
      <c r="D104" s="1"/>
      <c r="E104" s="1"/>
      <c r="F104" s="1"/>
      <c r="G104" s="1"/>
      <c r="H104" s="1"/>
      <c r="I104" s="1"/>
    </row>
    <row r="105" spans="2:9" ht="18">
      <c r="B105" s="1"/>
      <c r="C105" s="1"/>
      <c r="D105" s="1"/>
      <c r="E105" s="1"/>
      <c r="F105" s="1"/>
      <c r="G105" s="1"/>
      <c r="H105" s="1"/>
      <c r="I105" s="1"/>
    </row>
    <row r="106" spans="2:9" ht="18">
      <c r="B106" s="1"/>
      <c r="C106" s="1"/>
      <c r="D106" s="1"/>
      <c r="E106" s="1"/>
      <c r="F106" s="1"/>
      <c r="G106" s="1"/>
      <c r="H106" s="1"/>
      <c r="I106" s="1"/>
    </row>
    <row r="107" spans="2:9" ht="18">
      <c r="B107" s="1"/>
      <c r="C107" s="1"/>
      <c r="D107" s="1"/>
      <c r="E107" s="1"/>
      <c r="F107" s="1"/>
      <c r="G107" s="1"/>
      <c r="H107" s="1"/>
      <c r="I107" s="1"/>
    </row>
    <row r="108" spans="2:9" ht="18">
      <c r="B108" s="1"/>
      <c r="C108" s="1"/>
      <c r="D108" s="1"/>
      <c r="E108" s="1"/>
      <c r="F108" s="1"/>
      <c r="G108" s="1"/>
      <c r="H108" s="1"/>
      <c r="I108" s="1"/>
    </row>
    <row r="109" spans="2:9" ht="18">
      <c r="B109" s="1"/>
      <c r="C109" s="1"/>
      <c r="D109" s="1"/>
      <c r="E109" s="1"/>
      <c r="F109" s="1"/>
      <c r="G109" s="1"/>
      <c r="H109" s="1"/>
      <c r="I109" s="1"/>
    </row>
    <row r="110" spans="2:9" ht="18">
      <c r="B110" s="1"/>
      <c r="C110" s="1"/>
      <c r="D110" s="1"/>
      <c r="E110" s="1"/>
      <c r="F110" s="1"/>
      <c r="G110" s="1"/>
      <c r="H110" s="1"/>
      <c r="I110" s="1"/>
    </row>
    <row r="111" spans="2:9" ht="18">
      <c r="B111" s="1"/>
      <c r="C111" s="1"/>
      <c r="D111" s="1"/>
      <c r="E111" s="1"/>
      <c r="F111" s="1"/>
      <c r="G111" s="1"/>
      <c r="H111" s="1"/>
      <c r="I111" s="1"/>
    </row>
    <row r="112" spans="2:9" ht="18">
      <c r="B112" s="1"/>
      <c r="C112" s="1"/>
      <c r="D112" s="1"/>
      <c r="E112" s="1"/>
      <c r="F112" s="1"/>
      <c r="G112" s="1"/>
      <c r="H112" s="1"/>
      <c r="I112" s="1"/>
    </row>
    <row r="113" spans="2:9" ht="18">
      <c r="B113" s="1"/>
      <c r="C113" s="1"/>
      <c r="D113" s="1"/>
      <c r="E113" s="1"/>
      <c r="F113" s="1"/>
      <c r="G113" s="1"/>
      <c r="H113" s="1"/>
      <c r="I113" s="1"/>
    </row>
    <row r="114" spans="2:9" ht="18">
      <c r="B114" s="1"/>
      <c r="C114" s="1"/>
      <c r="D114" s="1"/>
      <c r="E114" s="1"/>
      <c r="F114" s="1"/>
      <c r="G114" s="1"/>
      <c r="H114" s="1"/>
      <c r="I114" s="1"/>
    </row>
    <row r="115" spans="2:9" ht="18">
      <c r="B115" s="1"/>
      <c r="C115" s="1"/>
      <c r="D115" s="1"/>
      <c r="E115" s="1"/>
      <c r="F115" s="1"/>
      <c r="G115" s="1"/>
      <c r="H115" s="1"/>
      <c r="I115" s="1"/>
    </row>
    <row r="116" spans="2:9" ht="18">
      <c r="B116" s="1"/>
      <c r="C116" s="1"/>
      <c r="D116" s="1"/>
      <c r="E116" s="1"/>
      <c r="F116" s="1"/>
      <c r="G116" s="1"/>
      <c r="H116" s="1"/>
      <c r="I116" s="1"/>
    </row>
    <row r="117" spans="2:9" ht="18">
      <c r="B117" s="1"/>
      <c r="C117" s="1"/>
      <c r="D117" s="1"/>
      <c r="E117" s="1"/>
      <c r="F117" s="1"/>
      <c r="G117" s="1"/>
      <c r="H117" s="1"/>
      <c r="I117" s="1"/>
    </row>
    <row r="118" spans="2:9" ht="18">
      <c r="B118" s="1"/>
      <c r="C118" s="1"/>
      <c r="D118" s="1"/>
      <c r="E118" s="1"/>
      <c r="F118" s="1"/>
      <c r="G118" s="1"/>
      <c r="H118" s="1"/>
      <c r="I118" s="1"/>
    </row>
    <row r="119" spans="2:9" ht="18">
      <c r="B119" s="1"/>
      <c r="C119" s="1"/>
      <c r="D119" s="1"/>
      <c r="E119" s="1"/>
      <c r="F119" s="1"/>
      <c r="G119" s="1"/>
      <c r="H119" s="1"/>
      <c r="I119" s="1"/>
    </row>
    <row r="120" spans="2:9" ht="18">
      <c r="B120" s="1"/>
      <c r="C120" s="1"/>
      <c r="D120" s="1"/>
      <c r="E120" s="1"/>
      <c r="F120" s="1"/>
      <c r="G120" s="1"/>
      <c r="H120" s="1"/>
      <c r="I120" s="1"/>
    </row>
    <row r="121" spans="2:9" ht="18">
      <c r="B121" s="1"/>
      <c r="C121" s="1"/>
      <c r="D121" s="1"/>
      <c r="E121" s="1"/>
      <c r="F121" s="1"/>
      <c r="G121" s="1"/>
      <c r="H121" s="1"/>
      <c r="I121" s="1"/>
    </row>
    <row r="122" spans="2:9" ht="18">
      <c r="B122" s="1"/>
      <c r="C122" s="1"/>
      <c r="D122" s="1"/>
      <c r="E122" s="1"/>
      <c r="F122" s="1"/>
      <c r="G122" s="1"/>
      <c r="H122" s="1"/>
      <c r="I122" s="1"/>
    </row>
    <row r="123" spans="2:9" ht="18">
      <c r="B123" s="1"/>
      <c r="C123" s="1"/>
      <c r="D123" s="1"/>
      <c r="E123" s="1"/>
      <c r="F123" s="1"/>
      <c r="G123" s="1"/>
      <c r="H123" s="1"/>
      <c r="I123" s="1"/>
    </row>
    <row r="124" spans="2:9" ht="18">
      <c r="B124" s="1"/>
      <c r="C124" s="1"/>
      <c r="D124" s="1"/>
      <c r="E124" s="1"/>
      <c r="F124" s="1"/>
      <c r="G124" s="1"/>
      <c r="H124" s="1"/>
      <c r="I124" s="1"/>
    </row>
    <row r="125" spans="2:9" ht="18">
      <c r="B125" s="1"/>
      <c r="C125" s="1"/>
      <c r="D125" s="1"/>
      <c r="E125" s="1"/>
      <c r="F125" s="1"/>
      <c r="G125" s="1"/>
      <c r="H125" s="1"/>
      <c r="I125" s="1"/>
    </row>
    <row r="126" spans="2:9" ht="18">
      <c r="B126" s="1"/>
      <c r="C126" s="1"/>
      <c r="D126" s="1"/>
      <c r="E126" s="1"/>
      <c r="F126" s="1"/>
      <c r="G126" s="1"/>
      <c r="H126" s="1"/>
      <c r="I126" s="1"/>
    </row>
    <row r="127" spans="2:9" ht="18">
      <c r="B127" s="1"/>
      <c r="C127" s="1"/>
      <c r="D127" s="1"/>
      <c r="E127" s="1"/>
      <c r="F127" s="1"/>
      <c r="G127" s="1"/>
      <c r="H127" s="1"/>
      <c r="I127" s="1"/>
    </row>
    <row r="128" spans="2:9" ht="18">
      <c r="B128" s="1"/>
      <c r="C128" s="1"/>
      <c r="D128" s="1"/>
      <c r="E128" s="1"/>
      <c r="F128" s="1"/>
      <c r="G128" s="1"/>
      <c r="H128" s="1"/>
      <c r="I128" s="1"/>
    </row>
    <row r="129" spans="2:9" ht="18">
      <c r="B129" s="1"/>
      <c r="C129" s="1"/>
      <c r="D129" s="1"/>
      <c r="E129" s="1"/>
      <c r="F129" s="1"/>
      <c r="G129" s="1"/>
      <c r="H129" s="1"/>
      <c r="I129" s="1"/>
    </row>
    <row r="130" spans="2:9" ht="18">
      <c r="B130" s="1"/>
      <c r="C130" s="1"/>
      <c r="D130" s="1"/>
      <c r="E130" s="1"/>
      <c r="F130" s="1"/>
      <c r="G130" s="1"/>
      <c r="H130" s="1"/>
      <c r="I130" s="1"/>
    </row>
    <row r="131" spans="2:9" ht="18">
      <c r="B131" s="1"/>
      <c r="C131" s="1"/>
      <c r="D131" s="1"/>
      <c r="E131" s="1"/>
      <c r="F131" s="1"/>
      <c r="G131" s="1"/>
      <c r="H131" s="1"/>
      <c r="I131" s="1"/>
    </row>
    <row r="132" spans="2:9" ht="18">
      <c r="B132" s="1"/>
      <c r="C132" s="1"/>
      <c r="D132" s="1"/>
      <c r="E132" s="1"/>
      <c r="F132" s="1"/>
      <c r="G132" s="1"/>
      <c r="H132" s="1"/>
      <c r="I132" s="1"/>
    </row>
    <row r="133" spans="2:9" ht="18">
      <c r="B133" s="1"/>
      <c r="C133" s="1"/>
      <c r="D133" s="1"/>
      <c r="E133" s="1"/>
      <c r="F133" s="1"/>
      <c r="G133" s="1"/>
      <c r="H133" s="1"/>
      <c r="I133" s="1"/>
    </row>
    <row r="134" spans="2:9" ht="18">
      <c r="B134" s="1"/>
      <c r="C134" s="1"/>
      <c r="D134" s="1"/>
      <c r="E134" s="1"/>
      <c r="F134" s="1"/>
      <c r="G134" s="1"/>
      <c r="H134" s="1"/>
      <c r="I134" s="1"/>
    </row>
    <row r="135" spans="2:9" ht="18">
      <c r="B135" s="1"/>
      <c r="C135" s="1"/>
      <c r="D135" s="1"/>
      <c r="E135" s="1"/>
      <c r="F135" s="1"/>
      <c r="G135" s="1"/>
      <c r="H135" s="1"/>
      <c r="I135" s="1"/>
    </row>
    <row r="136" spans="2:9" ht="18">
      <c r="B136" s="1"/>
      <c r="C136" s="1"/>
      <c r="D136" s="1"/>
      <c r="E136" s="1"/>
      <c r="F136" s="1"/>
      <c r="G136" s="1"/>
      <c r="H136" s="1"/>
      <c r="I136" s="1"/>
    </row>
    <row r="137" spans="2:9" ht="18">
      <c r="B137" s="1"/>
      <c r="C137" s="1"/>
      <c r="D137" s="1"/>
      <c r="E137" s="1"/>
      <c r="F137" s="1"/>
      <c r="G137" s="1"/>
      <c r="H137" s="1"/>
      <c r="I137" s="1"/>
    </row>
    <row r="138" spans="2:9" ht="18">
      <c r="B138" s="1"/>
      <c r="C138" s="1"/>
      <c r="D138" s="1"/>
      <c r="E138" s="1"/>
      <c r="F138" s="1"/>
      <c r="G138" s="1"/>
      <c r="H138" s="1"/>
      <c r="I138" s="1"/>
    </row>
    <row r="139" spans="2:9" ht="18">
      <c r="B139" s="1"/>
      <c r="C139" s="1"/>
      <c r="D139" s="1"/>
      <c r="E139" s="1"/>
      <c r="F139" s="1"/>
      <c r="G139" s="1"/>
      <c r="H139" s="1"/>
      <c r="I139" s="1"/>
    </row>
    <row r="140" spans="2:9" ht="18">
      <c r="B140" s="1"/>
      <c r="C140" s="1"/>
      <c r="D140" s="1"/>
      <c r="E140" s="1"/>
      <c r="F140" s="1"/>
      <c r="G140" s="1"/>
      <c r="H140" s="1"/>
      <c r="I140" s="1"/>
    </row>
    <row r="141" spans="2:9" ht="18">
      <c r="B141" s="1"/>
      <c r="C141" s="1"/>
      <c r="D141" s="1"/>
      <c r="E141" s="1"/>
      <c r="F141" s="1"/>
      <c r="G141" s="1"/>
      <c r="H141" s="1"/>
      <c r="I141" s="1"/>
    </row>
    <row r="142" spans="2:9" ht="18">
      <c r="B142" s="1"/>
      <c r="C142" s="1"/>
      <c r="D142" s="1"/>
      <c r="E142" s="1"/>
      <c r="F142" s="1"/>
      <c r="G142" s="1"/>
      <c r="H142" s="1"/>
      <c r="I142" s="1"/>
    </row>
    <row r="143" spans="2:9" ht="18">
      <c r="B143" s="1"/>
      <c r="C143" s="1"/>
      <c r="D143" s="1"/>
      <c r="E143" s="1"/>
      <c r="F143" s="1"/>
      <c r="G143" s="1"/>
      <c r="H143" s="1"/>
      <c r="I143" s="1"/>
    </row>
    <row r="144" spans="2:9" ht="18">
      <c r="B144" s="1"/>
      <c r="C144" s="1"/>
      <c r="D144" s="1"/>
      <c r="E144" s="1"/>
      <c r="F144" s="1"/>
      <c r="G144" s="1"/>
      <c r="H144" s="1"/>
      <c r="I144" s="1"/>
    </row>
    <row r="145" spans="2:9" ht="18">
      <c r="B145" s="1"/>
      <c r="C145" s="1"/>
      <c r="D145" s="1"/>
      <c r="E145" s="1"/>
      <c r="F145" s="1"/>
      <c r="G145" s="1"/>
      <c r="H145" s="1"/>
      <c r="I145" s="1"/>
    </row>
    <row r="146" spans="2:9" ht="18">
      <c r="B146" s="1"/>
      <c r="C146" s="1"/>
      <c r="D146" s="1"/>
      <c r="E146" s="1"/>
      <c r="F146" s="1"/>
      <c r="G146" s="1"/>
      <c r="H146" s="1"/>
      <c r="I146" s="1"/>
    </row>
    <row r="147" spans="2:9" ht="18">
      <c r="B147" s="1"/>
      <c r="C147" s="1"/>
      <c r="D147" s="1"/>
      <c r="E147" s="1"/>
      <c r="F147" s="1"/>
      <c r="G147" s="1"/>
      <c r="H147" s="1"/>
      <c r="I147" s="1"/>
    </row>
    <row r="148" spans="2:9" ht="18">
      <c r="B148" s="1"/>
      <c r="C148" s="1"/>
      <c r="D148" s="1"/>
      <c r="E148" s="1"/>
      <c r="F148" s="1"/>
      <c r="G148" s="1"/>
      <c r="H148" s="1"/>
      <c r="I148" s="1"/>
    </row>
    <row r="149" spans="2:9" ht="18">
      <c r="B149" s="1"/>
      <c r="C149" s="1"/>
      <c r="D149" s="1"/>
      <c r="E149" s="1"/>
      <c r="F149" s="1"/>
      <c r="G149" s="1"/>
      <c r="H149" s="1"/>
      <c r="I149" s="1"/>
    </row>
    <row r="150" spans="2:9" ht="18">
      <c r="B150" s="1"/>
      <c r="C150" s="1"/>
      <c r="D150" s="1"/>
      <c r="E150" s="1"/>
      <c r="F150" s="1"/>
      <c r="G150" s="1"/>
      <c r="H150" s="1"/>
      <c r="I150" s="1"/>
    </row>
    <row r="151" spans="2:9" ht="18">
      <c r="B151" s="1"/>
      <c r="C151" s="1"/>
      <c r="D151" s="1"/>
      <c r="E151" s="1"/>
      <c r="F151" s="1"/>
      <c r="G151" s="1"/>
      <c r="H151" s="1"/>
      <c r="I151" s="1"/>
    </row>
    <row r="152" spans="2:9" ht="18">
      <c r="B152" s="1"/>
      <c r="C152" s="1"/>
      <c r="D152" s="1"/>
      <c r="E152" s="1"/>
      <c r="F152" s="1"/>
      <c r="G152" s="1"/>
      <c r="H152" s="1"/>
      <c r="I152" s="1"/>
    </row>
    <row r="153" spans="2:9" ht="18">
      <c r="B153" s="1"/>
      <c r="C153" s="1"/>
      <c r="D153" s="1"/>
      <c r="E153" s="1"/>
      <c r="F153" s="1"/>
      <c r="G153" s="1"/>
      <c r="H153" s="1"/>
      <c r="I153" s="1"/>
    </row>
    <row r="154" spans="2:9" ht="18">
      <c r="B154" s="1"/>
      <c r="C154" s="1"/>
      <c r="D154" s="1"/>
      <c r="E154" s="1"/>
      <c r="F154" s="1"/>
      <c r="G154" s="1"/>
      <c r="H154" s="1"/>
      <c r="I154" s="1"/>
    </row>
    <row r="155" spans="2:9" ht="18">
      <c r="B155" s="1"/>
      <c r="C155" s="1"/>
      <c r="D155" s="1"/>
      <c r="E155" s="1"/>
      <c r="F155" s="1"/>
      <c r="G155" s="1"/>
      <c r="H155" s="1"/>
      <c r="I155" s="1"/>
    </row>
    <row r="156" spans="2:9" ht="18">
      <c r="B156" s="1"/>
      <c r="C156" s="1"/>
      <c r="D156" s="1"/>
      <c r="E156" s="1"/>
      <c r="F156" s="1"/>
      <c r="G156" s="1"/>
      <c r="H156" s="1"/>
      <c r="I156" s="1"/>
    </row>
    <row r="157" spans="2:9" ht="18">
      <c r="B157" s="1"/>
      <c r="C157" s="1"/>
      <c r="D157" s="1"/>
      <c r="E157" s="1"/>
      <c r="F157" s="1"/>
      <c r="G157" s="1"/>
      <c r="H157" s="1"/>
      <c r="I157" s="1"/>
    </row>
    <row r="158" spans="2:9" ht="18">
      <c r="B158" s="1"/>
      <c r="C158" s="1"/>
      <c r="D158" s="1"/>
      <c r="E158" s="1"/>
      <c r="F158" s="1"/>
      <c r="G158" s="1"/>
      <c r="H158" s="1"/>
      <c r="I158" s="1"/>
    </row>
    <row r="159" spans="2:9" ht="18">
      <c r="B159" s="1"/>
      <c r="C159" s="1"/>
      <c r="D159" s="1"/>
      <c r="E159" s="1"/>
      <c r="F159" s="1"/>
      <c r="G159" s="1"/>
      <c r="H159" s="1"/>
      <c r="I159" s="1"/>
    </row>
    <row r="160" spans="2:9" ht="18">
      <c r="B160" s="1"/>
      <c r="C160" s="1"/>
      <c r="D160" s="1"/>
      <c r="E160" s="1"/>
      <c r="F160" s="1"/>
      <c r="G160" s="1"/>
      <c r="H160" s="1"/>
      <c r="I160" s="1"/>
    </row>
    <row r="161" spans="2:9" ht="18">
      <c r="B161" s="1"/>
      <c r="C161" s="1"/>
      <c r="D161" s="1"/>
      <c r="E161" s="1"/>
      <c r="F161" s="1"/>
      <c r="G161" s="1"/>
      <c r="H161" s="1"/>
      <c r="I161" s="1"/>
    </row>
    <row r="162" spans="2:9" ht="18">
      <c r="B162" s="1"/>
      <c r="C162" s="1"/>
      <c r="D162" s="1"/>
      <c r="E162" s="1"/>
      <c r="F162" s="1"/>
      <c r="G162" s="1"/>
      <c r="H162" s="1"/>
      <c r="I162" s="1"/>
    </row>
    <row r="163" spans="2:9" ht="18">
      <c r="B163" s="1"/>
      <c r="C163" s="1"/>
      <c r="D163" s="1"/>
      <c r="E163" s="1"/>
      <c r="F163" s="1"/>
      <c r="G163" s="1"/>
      <c r="H163" s="1"/>
      <c r="I163" s="1"/>
    </row>
    <row r="164" spans="2:9" ht="18">
      <c r="B164" s="1"/>
      <c r="C164" s="1"/>
      <c r="D164" s="1"/>
      <c r="E164" s="1"/>
      <c r="F164" s="1"/>
      <c r="G164" s="1"/>
      <c r="H164" s="1"/>
      <c r="I164" s="1"/>
    </row>
    <row r="165" spans="2:9" ht="18">
      <c r="B165" s="1"/>
      <c r="C165" s="1"/>
      <c r="D165" s="1"/>
      <c r="E165" s="1"/>
      <c r="F165" s="1"/>
      <c r="G165" s="1"/>
      <c r="H165" s="1"/>
      <c r="I165" s="1"/>
    </row>
    <row r="166" spans="2:9" ht="18">
      <c r="B166" s="1"/>
      <c r="C166" s="1"/>
      <c r="D166" s="1"/>
      <c r="E166" s="1"/>
      <c r="F166" s="1"/>
      <c r="G166" s="1"/>
      <c r="H166" s="1"/>
      <c r="I166" s="1"/>
    </row>
    <row r="167" spans="2:9" ht="18">
      <c r="B167" s="1"/>
      <c r="C167" s="1"/>
      <c r="D167" s="1"/>
      <c r="E167" s="1"/>
      <c r="F167" s="1"/>
      <c r="G167" s="1"/>
      <c r="H167" s="1"/>
      <c r="I167" s="1"/>
    </row>
    <row r="168" spans="2:9" ht="18">
      <c r="B168" s="1"/>
      <c r="C168" s="1"/>
      <c r="D168" s="1"/>
      <c r="E168" s="1"/>
      <c r="F168" s="1"/>
      <c r="G168" s="1"/>
      <c r="H168" s="1"/>
      <c r="I168" s="1"/>
    </row>
    <row r="169" spans="2:9" ht="18">
      <c r="B169" s="1"/>
      <c r="C169" s="1"/>
      <c r="D169" s="1"/>
      <c r="E169" s="1"/>
      <c r="F169" s="1"/>
      <c r="G169" s="1"/>
      <c r="H169" s="1"/>
      <c r="I169" s="1"/>
    </row>
    <row r="170" spans="2:9" ht="18">
      <c r="B170" s="1"/>
      <c r="C170" s="1"/>
      <c r="D170" s="1"/>
      <c r="E170" s="1"/>
      <c r="F170" s="1"/>
      <c r="G170" s="1"/>
      <c r="H170" s="1"/>
      <c r="I170" s="1"/>
    </row>
    <row r="171" spans="2:9" ht="18">
      <c r="B171" s="1"/>
      <c r="C171" s="1"/>
      <c r="D171" s="1"/>
      <c r="E171" s="1"/>
      <c r="F171" s="1"/>
      <c r="G171" s="1"/>
      <c r="H171" s="1"/>
      <c r="I171" s="1"/>
    </row>
    <row r="172" spans="2:9" ht="18">
      <c r="B172" s="1"/>
      <c r="C172" s="1"/>
      <c r="D172" s="1"/>
      <c r="E172" s="1"/>
      <c r="F172" s="1"/>
      <c r="G172" s="1"/>
      <c r="H172" s="1"/>
      <c r="I172" s="1"/>
    </row>
    <row r="173" spans="2:9" ht="18">
      <c r="B173" s="1"/>
      <c r="C173" s="1"/>
      <c r="D173" s="1"/>
      <c r="E173" s="1"/>
      <c r="F173" s="1"/>
      <c r="G173" s="1"/>
      <c r="H173" s="1"/>
      <c r="I173" s="1"/>
    </row>
    <row r="174" spans="2:9" ht="18">
      <c r="B174" s="1"/>
      <c r="C174" s="1"/>
      <c r="D174" s="1"/>
      <c r="E174" s="1"/>
      <c r="F174" s="1"/>
      <c r="G174" s="1"/>
      <c r="H174" s="1"/>
      <c r="I174" s="1"/>
    </row>
    <row r="175" spans="2:9" ht="18">
      <c r="B175" s="1"/>
      <c r="C175" s="1"/>
      <c r="D175" s="1"/>
      <c r="E175" s="1"/>
      <c r="F175" s="1"/>
      <c r="G175" s="1"/>
      <c r="H175" s="1"/>
      <c r="I175" s="1"/>
    </row>
    <row r="176" spans="2:9" ht="18">
      <c r="B176" s="1"/>
      <c r="C176" s="1"/>
      <c r="D176" s="1"/>
      <c r="E176" s="1"/>
      <c r="F176" s="1"/>
      <c r="G176" s="1"/>
      <c r="H176" s="1"/>
      <c r="I176" s="1"/>
    </row>
    <row r="177" spans="2:9" ht="18">
      <c r="B177" s="1"/>
      <c r="C177" s="1"/>
      <c r="D177" s="1"/>
      <c r="E177" s="1"/>
      <c r="F177" s="1"/>
      <c r="G177" s="1"/>
      <c r="H177" s="1"/>
      <c r="I177" s="1"/>
    </row>
    <row r="178" spans="2:9" ht="18">
      <c r="B178" s="1"/>
      <c r="C178" s="1"/>
      <c r="D178" s="1"/>
      <c r="E178" s="1"/>
      <c r="F178" s="1"/>
      <c r="G178" s="1"/>
      <c r="H178" s="1"/>
      <c r="I178" s="1"/>
    </row>
    <row r="179" spans="2:9" ht="18">
      <c r="B179" s="1"/>
      <c r="C179" s="1"/>
      <c r="D179" s="1"/>
      <c r="E179" s="1"/>
      <c r="F179" s="1"/>
      <c r="G179" s="1"/>
      <c r="H179" s="1"/>
      <c r="I179" s="1"/>
    </row>
    <row r="180" spans="2:9" ht="18">
      <c r="B180" s="1"/>
      <c r="C180" s="1"/>
      <c r="D180" s="1"/>
      <c r="E180" s="1"/>
      <c r="F180" s="1"/>
      <c r="G180" s="1"/>
      <c r="H180" s="1"/>
      <c r="I180" s="1"/>
    </row>
    <row r="181" spans="2:9" ht="18">
      <c r="B181" s="1"/>
      <c r="C181" s="1"/>
      <c r="D181" s="1"/>
      <c r="E181" s="1"/>
      <c r="F181" s="1"/>
      <c r="G181" s="1"/>
      <c r="H181" s="1"/>
      <c r="I181" s="1"/>
    </row>
    <row r="182" spans="2:9" ht="18">
      <c r="B182" s="1"/>
      <c r="C182" s="1"/>
      <c r="D182" s="1"/>
      <c r="E182" s="1"/>
      <c r="F182" s="1"/>
      <c r="G182" s="1"/>
      <c r="H182" s="1"/>
      <c r="I182" s="1"/>
    </row>
    <row r="183" spans="2:9" ht="18">
      <c r="B183" s="1"/>
      <c r="C183" s="1"/>
      <c r="D183" s="1"/>
      <c r="E183" s="1"/>
      <c r="F183" s="1"/>
      <c r="G183" s="1"/>
      <c r="H183" s="1"/>
      <c r="I183" s="1"/>
    </row>
    <row r="184" spans="2:9" ht="18">
      <c r="B184" s="1"/>
      <c r="C184" s="1"/>
      <c r="D184" s="1"/>
      <c r="E184" s="1"/>
      <c r="F184" s="1"/>
      <c r="G184" s="1"/>
      <c r="H184" s="1"/>
      <c r="I184" s="1"/>
    </row>
    <row r="185" spans="2:9" ht="18">
      <c r="B185" s="1"/>
      <c r="C185" s="1"/>
      <c r="D185" s="1"/>
      <c r="E185" s="1"/>
      <c r="F185" s="1"/>
      <c r="G185" s="1"/>
      <c r="H185" s="1"/>
      <c r="I185" s="1"/>
    </row>
    <row r="186" spans="2:9" ht="18">
      <c r="B186" s="1"/>
      <c r="C186" s="1"/>
      <c r="D186" s="1"/>
      <c r="E186" s="1"/>
      <c r="F186" s="1"/>
      <c r="G186" s="1"/>
      <c r="H186" s="1"/>
      <c r="I186" s="1"/>
    </row>
    <row r="187" spans="2:9" ht="18">
      <c r="B187" s="1"/>
      <c r="C187" s="1"/>
      <c r="D187" s="1"/>
      <c r="E187" s="1"/>
      <c r="F187" s="1"/>
      <c r="G187" s="1"/>
      <c r="H187" s="1"/>
      <c r="I187" s="1"/>
    </row>
    <row r="188" spans="2:9" ht="18">
      <c r="B188" s="1"/>
      <c r="C188" s="1"/>
      <c r="D188" s="1"/>
      <c r="E188" s="1"/>
      <c r="F188" s="1"/>
      <c r="G188" s="1"/>
      <c r="H188" s="1"/>
      <c r="I188" s="1"/>
    </row>
    <row r="189" spans="2:9" ht="18">
      <c r="B189" s="1"/>
      <c r="C189" s="1"/>
      <c r="D189" s="1"/>
      <c r="E189" s="1"/>
      <c r="F189" s="1"/>
      <c r="G189" s="1"/>
      <c r="H189" s="1"/>
      <c r="I189" s="1"/>
    </row>
    <row r="190" spans="2:9" ht="18">
      <c r="B190" s="1"/>
      <c r="C190" s="1"/>
      <c r="D190" s="1"/>
      <c r="E190" s="1"/>
      <c r="F190" s="1"/>
      <c r="G190" s="1"/>
      <c r="H190" s="1"/>
      <c r="I190" s="1"/>
    </row>
    <row r="191" spans="2:9" ht="18">
      <c r="B191" s="1"/>
      <c r="C191" s="1"/>
      <c r="D191" s="1"/>
      <c r="E191" s="1"/>
      <c r="F191" s="1"/>
      <c r="G191" s="1"/>
      <c r="H191" s="1"/>
      <c r="I191" s="1"/>
    </row>
    <row r="192" spans="2:9" ht="18">
      <c r="B192" s="1"/>
      <c r="C192" s="1"/>
      <c r="D192" s="1"/>
      <c r="E192" s="1"/>
      <c r="F192" s="1"/>
      <c r="G192" s="1"/>
      <c r="H192" s="1"/>
      <c r="I192" s="1"/>
    </row>
    <row r="193" spans="2:9" ht="18">
      <c r="B193" s="1"/>
      <c r="C193" s="1"/>
      <c r="D193" s="1"/>
      <c r="E193" s="1"/>
      <c r="F193" s="1"/>
      <c r="G193" s="1"/>
      <c r="H193" s="1"/>
      <c r="I193" s="1"/>
    </row>
    <row r="194" spans="2:9" ht="18">
      <c r="B194" s="1"/>
      <c r="C194" s="1"/>
      <c r="D194" s="1"/>
      <c r="E194" s="1"/>
      <c r="F194" s="1"/>
      <c r="G194" s="1"/>
      <c r="H194" s="1"/>
      <c r="I194" s="1"/>
    </row>
    <row r="195" spans="2:9" ht="18">
      <c r="B195" s="1"/>
      <c r="C195" s="1"/>
      <c r="D195" s="1"/>
      <c r="E195" s="1"/>
      <c r="F195" s="1"/>
      <c r="G195" s="1"/>
      <c r="H195" s="1"/>
      <c r="I195" s="1"/>
    </row>
    <row r="196" spans="2:9" ht="18">
      <c r="B196" s="1"/>
      <c r="C196" s="1"/>
      <c r="D196" s="1"/>
      <c r="E196" s="1"/>
      <c r="F196" s="1"/>
      <c r="G196" s="1"/>
      <c r="H196" s="1"/>
      <c r="I196" s="1"/>
    </row>
    <row r="197" spans="2:9" ht="18">
      <c r="B197" s="1"/>
      <c r="C197" s="1"/>
      <c r="D197" s="1"/>
      <c r="E197" s="1"/>
      <c r="F197" s="1"/>
      <c r="G197" s="1"/>
      <c r="H197" s="1"/>
      <c r="I197" s="1"/>
    </row>
    <row r="198" spans="2:9" ht="18">
      <c r="B198" s="1"/>
      <c r="C198" s="1"/>
      <c r="D198" s="1"/>
      <c r="E198" s="1"/>
      <c r="F198" s="1"/>
      <c r="G198" s="1"/>
      <c r="H198" s="1"/>
      <c r="I198" s="1"/>
    </row>
    <row r="199" spans="2:9" ht="18">
      <c r="B199" s="1"/>
      <c r="C199" s="1"/>
      <c r="D199" s="1"/>
      <c r="E199" s="1"/>
      <c r="F199" s="1"/>
      <c r="G199" s="1"/>
      <c r="H199" s="1"/>
      <c r="I199" s="1"/>
    </row>
    <row r="200" spans="2:9" ht="18">
      <c r="B200" s="1"/>
      <c r="C200" s="1"/>
      <c r="D200" s="1"/>
      <c r="E200" s="1"/>
      <c r="F200" s="1"/>
      <c r="G200" s="1"/>
      <c r="H200" s="1"/>
      <c r="I200" s="1"/>
    </row>
    <row r="201" spans="2:9" ht="18">
      <c r="B201" s="1"/>
      <c r="C201" s="1"/>
      <c r="D201" s="1"/>
      <c r="E201" s="1"/>
      <c r="F201" s="1"/>
      <c r="G201" s="1"/>
      <c r="H201" s="1"/>
      <c r="I201" s="1"/>
    </row>
    <row r="202" spans="2:9" ht="18">
      <c r="B202" s="1"/>
      <c r="C202" s="1"/>
      <c r="D202" s="1"/>
      <c r="E202" s="1"/>
      <c r="F202" s="1"/>
      <c r="G202" s="1"/>
      <c r="H202" s="1"/>
      <c r="I202" s="1"/>
    </row>
    <row r="203" spans="2:9" ht="18">
      <c r="B203" s="1"/>
      <c r="C203" s="1"/>
      <c r="D203" s="1"/>
      <c r="E203" s="1"/>
      <c r="F203" s="1"/>
      <c r="G203" s="1"/>
      <c r="H203" s="1"/>
      <c r="I203" s="1"/>
    </row>
    <row r="204" spans="2:9" ht="18">
      <c r="B204" s="1"/>
      <c r="C204" s="1"/>
      <c r="D204" s="1"/>
      <c r="E204" s="1"/>
      <c r="F204" s="1"/>
      <c r="G204" s="1"/>
      <c r="H204" s="1"/>
      <c r="I204" s="1"/>
    </row>
    <row r="205" spans="2:9" ht="18">
      <c r="B205" s="1"/>
      <c r="C205" s="1"/>
      <c r="D205" s="1"/>
      <c r="E205" s="1"/>
      <c r="F205" s="1"/>
      <c r="G205" s="1"/>
      <c r="H205" s="1"/>
      <c r="I205" s="1"/>
    </row>
    <row r="206" spans="2:9" ht="18">
      <c r="B206" s="1"/>
      <c r="C206" s="1"/>
      <c r="D206" s="1"/>
      <c r="E206" s="1"/>
      <c r="F206" s="1"/>
      <c r="G206" s="1"/>
      <c r="H206" s="1"/>
      <c r="I206" s="1"/>
    </row>
    <row r="207" spans="2:9" ht="18">
      <c r="B207" s="1"/>
      <c r="C207" s="1"/>
      <c r="D207" s="1"/>
      <c r="E207" s="1"/>
      <c r="F207" s="1"/>
      <c r="G207" s="1"/>
      <c r="H207" s="1"/>
      <c r="I207" s="1"/>
    </row>
    <row r="208" spans="2:9" ht="18">
      <c r="B208" s="1"/>
      <c r="C208" s="1"/>
      <c r="D208" s="1"/>
      <c r="E208" s="1"/>
      <c r="F208" s="1"/>
      <c r="G208" s="1"/>
      <c r="H208" s="1"/>
      <c r="I208" s="1"/>
    </row>
    <row r="209" spans="2:9" ht="18">
      <c r="B209" s="1"/>
      <c r="C209" s="1"/>
      <c r="D209" s="1"/>
      <c r="E209" s="1"/>
      <c r="F209" s="1"/>
      <c r="G209" s="1"/>
      <c r="H209" s="1"/>
      <c r="I209" s="1"/>
    </row>
    <row r="210" spans="2:9" ht="18">
      <c r="B210" s="1"/>
      <c r="C210" s="1"/>
      <c r="D210" s="1"/>
      <c r="E210" s="1"/>
      <c r="F210" s="1"/>
      <c r="G210" s="1"/>
      <c r="H210" s="1"/>
      <c r="I210" s="1"/>
    </row>
    <row r="211" spans="2:9" ht="18">
      <c r="B211" s="1"/>
      <c r="C211" s="1"/>
      <c r="D211" s="1"/>
      <c r="E211" s="1"/>
      <c r="F211" s="1"/>
      <c r="G211" s="1"/>
      <c r="H211" s="1"/>
      <c r="I211" s="1"/>
    </row>
    <row r="212" spans="2:9" ht="18">
      <c r="B212" s="1"/>
      <c r="C212" s="1"/>
      <c r="D212" s="1"/>
      <c r="E212" s="1"/>
      <c r="F212" s="1"/>
      <c r="G212" s="1"/>
      <c r="H212" s="1"/>
      <c r="I212" s="1"/>
    </row>
    <row r="213" spans="2:9" ht="18">
      <c r="B213" s="1"/>
      <c r="C213" s="1"/>
      <c r="D213" s="1"/>
      <c r="E213" s="1"/>
      <c r="F213" s="1"/>
      <c r="G213" s="1"/>
      <c r="H213" s="1"/>
      <c r="I213" s="1"/>
    </row>
    <row r="214" spans="2:9" ht="18">
      <c r="B214" s="1"/>
      <c r="C214" s="1"/>
      <c r="D214" s="1"/>
      <c r="E214" s="1"/>
      <c r="F214" s="1"/>
      <c r="G214" s="1"/>
      <c r="H214" s="1"/>
      <c r="I214" s="1"/>
    </row>
    <row r="215" spans="2:9" ht="18">
      <c r="B215" s="1"/>
      <c r="C215" s="1"/>
      <c r="D215" s="1"/>
      <c r="E215" s="1"/>
      <c r="F215" s="1"/>
      <c r="G215" s="1"/>
      <c r="H215" s="1"/>
      <c r="I215" s="1"/>
    </row>
    <row r="216" spans="2:9" ht="18">
      <c r="B216" s="1"/>
      <c r="C216" s="1"/>
      <c r="D216" s="1"/>
      <c r="E216" s="1"/>
      <c r="F216" s="1"/>
      <c r="G216" s="1"/>
      <c r="H216" s="1"/>
      <c r="I216" s="1"/>
    </row>
    <row r="217" spans="2:9" ht="18">
      <c r="B217" s="1"/>
      <c r="C217" s="1"/>
      <c r="D217" s="1"/>
      <c r="E217" s="1"/>
      <c r="F217" s="1"/>
      <c r="G217" s="1"/>
      <c r="H217" s="1"/>
      <c r="I217" s="1"/>
    </row>
    <row r="218" spans="2:9" ht="18">
      <c r="B218" s="1"/>
      <c r="C218" s="1"/>
      <c r="D218" s="1"/>
      <c r="E218" s="1"/>
      <c r="F218" s="1"/>
      <c r="G218" s="1"/>
      <c r="H218" s="1"/>
      <c r="I218" s="1"/>
    </row>
    <row r="219" spans="2:9" ht="18">
      <c r="B219" s="1"/>
      <c r="C219" s="1"/>
      <c r="D219" s="1"/>
      <c r="E219" s="1"/>
      <c r="F219" s="1"/>
      <c r="G219" s="1"/>
      <c r="H219" s="1"/>
      <c r="I219" s="1"/>
    </row>
    <row r="220" spans="2:9" ht="18">
      <c r="B220" s="1"/>
      <c r="C220" s="1"/>
      <c r="D220" s="1"/>
      <c r="E220" s="1"/>
      <c r="F220" s="1"/>
      <c r="G220" s="1"/>
      <c r="H220" s="1"/>
      <c r="I220" s="1"/>
    </row>
    <row r="221" spans="2:9" ht="18">
      <c r="B221" s="1"/>
      <c r="C221" s="1"/>
      <c r="D221" s="1"/>
      <c r="E221" s="1"/>
      <c r="F221" s="1"/>
      <c r="G221" s="1"/>
      <c r="H221" s="1"/>
      <c r="I221" s="1"/>
    </row>
    <row r="222" spans="2:9" ht="18">
      <c r="B222" s="1"/>
      <c r="C222" s="1"/>
      <c r="D222" s="1"/>
      <c r="E222" s="1"/>
      <c r="F222" s="1"/>
      <c r="G222" s="1"/>
      <c r="H222" s="1"/>
      <c r="I222" s="1"/>
    </row>
    <row r="223" spans="2:9" ht="18">
      <c r="B223" s="1"/>
      <c r="C223" s="1"/>
      <c r="D223" s="1"/>
      <c r="E223" s="1"/>
      <c r="F223" s="1"/>
      <c r="G223" s="1"/>
      <c r="H223" s="1"/>
      <c r="I223" s="1"/>
    </row>
    <row r="224" spans="2:9" ht="18">
      <c r="B224" s="1"/>
      <c r="C224" s="1"/>
      <c r="D224" s="1"/>
      <c r="E224" s="1"/>
      <c r="F224" s="1"/>
      <c r="G224" s="1"/>
      <c r="H224" s="1"/>
      <c r="I224" s="1"/>
    </row>
    <row r="225" spans="2:9" ht="18">
      <c r="B225" s="1"/>
      <c r="C225" s="1"/>
      <c r="D225" s="1"/>
      <c r="E225" s="1"/>
      <c r="F225" s="1"/>
      <c r="G225" s="1"/>
      <c r="H225" s="1"/>
      <c r="I225" s="1"/>
    </row>
    <row r="226" spans="2:9" ht="18">
      <c r="B226" s="1"/>
      <c r="C226" s="1"/>
      <c r="D226" s="1"/>
      <c r="E226" s="1"/>
      <c r="F226" s="1"/>
      <c r="G226" s="1"/>
      <c r="H226" s="1"/>
      <c r="I226" s="1"/>
    </row>
    <row r="227" spans="2:9" ht="18">
      <c r="B227" s="1"/>
      <c r="C227" s="1"/>
      <c r="D227" s="1"/>
      <c r="E227" s="1"/>
      <c r="F227" s="1"/>
      <c r="G227" s="1"/>
      <c r="H227" s="1"/>
      <c r="I227" s="1"/>
    </row>
    <row r="228" spans="2:9" ht="18">
      <c r="B228" s="1"/>
      <c r="C228" s="1"/>
      <c r="D228" s="1"/>
      <c r="E228" s="1"/>
      <c r="F228" s="1"/>
      <c r="G228" s="1"/>
      <c r="H228" s="1"/>
      <c r="I228" s="1"/>
    </row>
    <row r="229" spans="2:9" ht="18">
      <c r="B229" s="1"/>
      <c r="C229" s="1"/>
      <c r="D229" s="1"/>
      <c r="E229" s="1"/>
      <c r="F229" s="1"/>
      <c r="G229" s="1"/>
      <c r="H229" s="1"/>
      <c r="I229" s="1"/>
    </row>
    <row r="230" spans="2:9" ht="18">
      <c r="B230" s="1"/>
      <c r="C230" s="1"/>
      <c r="D230" s="1"/>
      <c r="E230" s="1"/>
      <c r="F230" s="1"/>
      <c r="G230" s="1"/>
      <c r="H230" s="1"/>
      <c r="I230" s="1"/>
    </row>
    <row r="231" spans="2:9" ht="18">
      <c r="B231" s="1"/>
      <c r="C231" s="1"/>
      <c r="D231" s="1"/>
      <c r="E231" s="1"/>
      <c r="F231" s="1"/>
      <c r="G231" s="1"/>
      <c r="H231" s="1"/>
      <c r="I231" s="1"/>
    </row>
    <row r="232" spans="2:9" ht="18">
      <c r="B232" s="1"/>
      <c r="C232" s="1"/>
      <c r="D232" s="1"/>
      <c r="E232" s="1"/>
      <c r="F232" s="1"/>
      <c r="G232" s="1"/>
      <c r="H232" s="1"/>
      <c r="I232" s="1"/>
    </row>
    <row r="233" spans="2:9" ht="18">
      <c r="B233" s="1"/>
      <c r="C233" s="1"/>
      <c r="D233" s="1"/>
      <c r="E233" s="1"/>
      <c r="F233" s="1"/>
      <c r="G233" s="1"/>
      <c r="H233" s="1"/>
      <c r="I233" s="1"/>
    </row>
    <row r="234" spans="2:9" ht="18">
      <c r="B234" s="1"/>
      <c r="C234" s="1"/>
      <c r="D234" s="1"/>
      <c r="E234" s="1"/>
      <c r="F234" s="1"/>
      <c r="G234" s="1"/>
      <c r="H234" s="1"/>
      <c r="I234" s="1"/>
    </row>
    <row r="235" spans="2:9" ht="18">
      <c r="B235" s="1"/>
      <c r="C235" s="1"/>
      <c r="D235" s="1"/>
      <c r="E235" s="1"/>
      <c r="F235" s="1"/>
      <c r="G235" s="1"/>
      <c r="H235" s="1"/>
      <c r="I235" s="1"/>
    </row>
    <row r="236" spans="2:9" ht="18">
      <c r="B236" s="1"/>
      <c r="C236" s="1"/>
      <c r="D236" s="1"/>
      <c r="E236" s="1"/>
      <c r="F236" s="1"/>
      <c r="G236" s="1"/>
      <c r="H236" s="1"/>
      <c r="I236" s="1"/>
    </row>
    <row r="237" spans="2:9" ht="18">
      <c r="B237" s="1"/>
      <c r="C237" s="1"/>
      <c r="D237" s="1"/>
      <c r="E237" s="1"/>
      <c r="F237" s="1"/>
      <c r="G237" s="1"/>
      <c r="H237" s="1"/>
      <c r="I237" s="1"/>
    </row>
    <row r="238" spans="2:9" ht="18">
      <c r="B238" s="1"/>
      <c r="C238" s="1"/>
      <c r="D238" s="1"/>
      <c r="E238" s="1"/>
      <c r="F238" s="1"/>
      <c r="G238" s="1"/>
      <c r="H238" s="1"/>
      <c r="I238" s="1"/>
    </row>
    <row r="239" spans="2:9" ht="18">
      <c r="B239" s="1"/>
      <c r="C239" s="1"/>
      <c r="D239" s="1"/>
      <c r="E239" s="1"/>
      <c r="F239" s="1"/>
      <c r="G239" s="1"/>
      <c r="H239" s="1"/>
      <c r="I239" s="1"/>
    </row>
    <row r="240" spans="2:9" ht="18">
      <c r="B240" s="1"/>
      <c r="C240" s="1"/>
      <c r="D240" s="1"/>
      <c r="E240" s="1"/>
      <c r="F240" s="1"/>
      <c r="G240" s="1"/>
      <c r="H240" s="1"/>
      <c r="I240" s="1"/>
    </row>
    <row r="241" spans="2:9" ht="18">
      <c r="B241" s="1"/>
      <c r="C241" s="1"/>
      <c r="D241" s="1"/>
      <c r="E241" s="1"/>
      <c r="F241" s="1"/>
      <c r="G241" s="1"/>
      <c r="H241" s="1"/>
      <c r="I241" s="1"/>
    </row>
    <row r="242" spans="2:9" ht="18">
      <c r="B242" s="1"/>
      <c r="C242" s="1"/>
      <c r="D242" s="1"/>
      <c r="E242" s="1"/>
      <c r="F242" s="1"/>
      <c r="G242" s="1"/>
      <c r="H242" s="1"/>
      <c r="I242" s="1"/>
    </row>
    <row r="243" spans="2:9" ht="18">
      <c r="B243" s="1"/>
      <c r="C243" s="1"/>
      <c r="D243" s="1"/>
      <c r="E243" s="1"/>
      <c r="F243" s="1"/>
      <c r="G243" s="1"/>
      <c r="H243" s="1"/>
      <c r="I243" s="1"/>
    </row>
    <row r="244" spans="2:9" ht="18">
      <c r="B244" s="1"/>
      <c r="C244" s="1"/>
      <c r="D244" s="1"/>
      <c r="E244" s="1"/>
      <c r="F244" s="1"/>
      <c r="G244" s="1"/>
      <c r="H244" s="1"/>
      <c r="I244" s="1"/>
    </row>
    <row r="245" spans="2:9" ht="18">
      <c r="B245" s="1"/>
      <c r="C245" s="1"/>
      <c r="D245" s="1"/>
      <c r="E245" s="1"/>
      <c r="F245" s="1"/>
      <c r="G245" s="1"/>
      <c r="H245" s="1"/>
      <c r="I245" s="1"/>
    </row>
    <row r="246" spans="2:9" ht="18">
      <c r="B246" s="1"/>
      <c r="C246" s="1"/>
      <c r="D246" s="1"/>
      <c r="E246" s="1"/>
      <c r="F246" s="1"/>
      <c r="G246" s="1"/>
      <c r="H246" s="1"/>
      <c r="I246" s="1"/>
    </row>
    <row r="247" spans="2:9" ht="18">
      <c r="B247" s="1"/>
      <c r="C247" s="1"/>
      <c r="D247" s="1"/>
      <c r="E247" s="1"/>
      <c r="F247" s="1"/>
      <c r="G247" s="1"/>
      <c r="H247" s="1"/>
      <c r="I247" s="1"/>
    </row>
    <row r="248" spans="2:9" ht="18">
      <c r="B248" s="1"/>
      <c r="C248" s="1"/>
      <c r="D248" s="1"/>
      <c r="E248" s="1"/>
      <c r="F248" s="1"/>
      <c r="G248" s="1"/>
      <c r="H248" s="1"/>
      <c r="I248" s="1"/>
    </row>
    <row r="249" spans="2:9" ht="18">
      <c r="B249" s="1"/>
      <c r="C249" s="1"/>
      <c r="D249" s="1"/>
      <c r="E249" s="1"/>
      <c r="F249" s="1"/>
      <c r="G249" s="1"/>
      <c r="H249" s="1"/>
      <c r="I249" s="1"/>
    </row>
    <row r="250" spans="2:9" ht="18">
      <c r="B250" s="1"/>
      <c r="C250" s="1"/>
      <c r="D250" s="1"/>
      <c r="E250" s="1"/>
      <c r="F250" s="1"/>
      <c r="G250" s="1"/>
      <c r="H250" s="1"/>
      <c r="I250" s="1"/>
    </row>
    <row r="251" spans="2:9" ht="18">
      <c r="B251" s="1"/>
      <c r="C251" s="1"/>
      <c r="D251" s="1"/>
      <c r="E251" s="1"/>
      <c r="F251" s="1"/>
      <c r="G251" s="1"/>
      <c r="H251" s="1"/>
      <c r="I251" s="1"/>
    </row>
  </sheetData>
  <mergeCells count="85">
    <mergeCell ref="B56:E56"/>
    <mergeCell ref="B57:E57"/>
    <mergeCell ref="B58:E58"/>
    <mergeCell ref="B59:E59"/>
    <mergeCell ref="F60:F65"/>
    <mergeCell ref="C61:E61"/>
    <mergeCell ref="C63:E63"/>
    <mergeCell ref="B24:E24"/>
    <mergeCell ref="B25:E25"/>
    <mergeCell ref="B1:E1"/>
    <mergeCell ref="B2:E2"/>
    <mergeCell ref="C6:E6"/>
    <mergeCell ref="C8:E8"/>
    <mergeCell ref="B3:E3"/>
    <mergeCell ref="B4:E4"/>
    <mergeCell ref="B12:E12"/>
    <mergeCell ref="B13:E13"/>
    <mergeCell ref="B23:E23"/>
    <mergeCell ref="B10:E10"/>
    <mergeCell ref="C19:E19"/>
    <mergeCell ref="B14:E14"/>
    <mergeCell ref="B15:E15"/>
    <mergeCell ref="C22:E22"/>
    <mergeCell ref="I1:L1"/>
    <mergeCell ref="I2:L2"/>
    <mergeCell ref="I3:L3"/>
    <mergeCell ref="I4:L4"/>
    <mergeCell ref="J5:L5"/>
    <mergeCell ref="I13:L13"/>
    <mergeCell ref="I14:L14"/>
    <mergeCell ref="I15:L15"/>
    <mergeCell ref="C17:E17"/>
    <mergeCell ref="J17:L17"/>
    <mergeCell ref="J16:L16"/>
    <mergeCell ref="I34:L34"/>
    <mergeCell ref="B35:E35"/>
    <mergeCell ref="I35:L35"/>
    <mergeCell ref="I26:L26"/>
    <mergeCell ref="C30:E30"/>
    <mergeCell ref="J30:L30"/>
    <mergeCell ref="C33:E33"/>
    <mergeCell ref="B34:E34"/>
    <mergeCell ref="C28:E28"/>
    <mergeCell ref="B26:E26"/>
    <mergeCell ref="J27:L27"/>
    <mergeCell ref="J41:L41"/>
    <mergeCell ref="B45:E45"/>
    <mergeCell ref="I45:L45"/>
    <mergeCell ref="B36:E36"/>
    <mergeCell ref="I36:L36"/>
    <mergeCell ref="B37:E37"/>
    <mergeCell ref="I37:L37"/>
    <mergeCell ref="J38:L38"/>
    <mergeCell ref="F49:F54"/>
    <mergeCell ref="F38:F43"/>
    <mergeCell ref="M38:M43"/>
    <mergeCell ref="C50:E50"/>
    <mergeCell ref="J50:L50"/>
    <mergeCell ref="C52:E52"/>
    <mergeCell ref="J52:L52"/>
    <mergeCell ref="B46:E46"/>
    <mergeCell ref="I46:L46"/>
    <mergeCell ref="B47:E47"/>
    <mergeCell ref="I47:L47"/>
    <mergeCell ref="C39:E39"/>
    <mergeCell ref="J39:L39"/>
    <mergeCell ref="B48:E48"/>
    <mergeCell ref="I48:L48"/>
    <mergeCell ref="C41:E41"/>
    <mergeCell ref="J49:L49"/>
    <mergeCell ref="F5:F10"/>
    <mergeCell ref="M27:M32"/>
    <mergeCell ref="M16:M21"/>
    <mergeCell ref="F16:F21"/>
    <mergeCell ref="M5:M10"/>
    <mergeCell ref="J28:L28"/>
    <mergeCell ref="I24:L24"/>
    <mergeCell ref="J19:L19"/>
    <mergeCell ref="J6:L6"/>
    <mergeCell ref="J8:L8"/>
    <mergeCell ref="F27:F32"/>
    <mergeCell ref="I12:L12"/>
    <mergeCell ref="I23:L23"/>
    <mergeCell ref="I25:L25"/>
    <mergeCell ref="M49:M54"/>
  </mergeCells>
  <pageMargins left="0.42" right="0.54" top="0.75" bottom="0.75" header="0.3" footer="0.3"/>
  <pageSetup paperSize="9" scale="9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Spinner 4">
              <controlPr defaultSize="0" autoPict="0">
                <anchor moveWithCells="1" sizeWithCells="1">
                  <from>
                    <xdr:col>17</xdr:col>
                    <xdr:colOff>19050</xdr:colOff>
                    <xdr:row>2</xdr:row>
                    <xdr:rowOff>0</xdr:rowOff>
                  </from>
                  <to>
                    <xdr:col>17</xdr:col>
                    <xdr:colOff>342900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3</vt:i4>
      </vt:variant>
      <vt:variant>
        <vt:lpstr>النطاقات المسماة</vt:lpstr>
      </vt:variant>
      <vt:variant>
        <vt:i4>1</vt:i4>
      </vt:variant>
    </vt:vector>
  </HeadingPairs>
  <TitlesOfParts>
    <vt:vector size="4" baseType="lpstr">
      <vt:lpstr>MINASA</vt:lpstr>
      <vt:lpstr>list</vt:lpstr>
      <vt:lpstr>Card-motamahn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BenSelilih_Info</dc:creator>
  <cp:lastModifiedBy>Benselilih Messaoud</cp:lastModifiedBy>
  <cp:lastPrinted>2026-10-13T10:43:42Z</cp:lastPrinted>
  <dcterms:created xsi:type="dcterms:W3CDTF">2024-06-25T15:37:40Z</dcterms:created>
  <dcterms:modified xsi:type="dcterms:W3CDTF">2026-10-18T11:54:09Z</dcterms:modified>
</cp:coreProperties>
</file>